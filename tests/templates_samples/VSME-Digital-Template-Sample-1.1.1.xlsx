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efrag-my.sharepoint.com/personal/andrea_baschiera_efrag_org/Documents/Desktop/Digital-Template-Data-Migration-Tool/tests/templates_samples/"/>
    </mc:Choice>
  </mc:AlternateContent>
  <xr:revisionPtr revIDLastSave="5179" documentId="8_{8F8C91A4-9BAF-480E-93C6-D7EABA290476}" xr6:coauthVersionLast="47" xr6:coauthVersionMax="47" xr10:uidLastSave="{ABF5F486-7500-5EC7-8EE8-BD81723494E5}"/>
  <bookViews>
    <workbookView xWindow="28680" yWindow="-120" windowWidth="29040" windowHeight="15720" tabRatio="672" firstSheet="2" activeTab="2"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definedNames>
    <definedName name="_xlnm._FilterDatabase" localSheetId="12"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6" i="8" l="1"/>
  <c r="D212" i="1" l="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4" i="1" l="1"/>
  <c r="J423" i="1"/>
  <c r="G536" i="1" l="1"/>
  <c r="G535" i="1"/>
  <c r="G3" i="17"/>
  <c r="E3" i="17"/>
  <c r="D3" i="17" l="1"/>
  <c r="F3" i="17"/>
  <c r="M330" i="1" l="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I32" i="12" l="1"/>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B3" i="4" l="1" a="1"/>
  <c r="H33" i="7"/>
  <c r="F19" i="3"/>
  <c r="I38" i="7"/>
  <c r="I12" i="7"/>
  <c r="I200" i="12"/>
  <c r="I194" i="12"/>
  <c r="I192" i="12"/>
  <c r="I191" i="12"/>
  <c r="I186" i="12" a="1"/>
  <c r="I180" i="12"/>
  <c r="M548" i="1"/>
  <c r="L544" i="1"/>
  <c r="K438" i="1"/>
  <c r="K439" i="1"/>
  <c r="K440" i="1"/>
  <c r="K441" i="1"/>
  <c r="K442" i="1"/>
  <c r="K443" i="1"/>
  <c r="K444" i="1"/>
  <c r="K445" i="1"/>
  <c r="K446" i="1"/>
  <c r="K447" i="1"/>
  <c r="K437" i="1"/>
  <c r="H317" i="1" l="1"/>
  <c r="L190" i="1"/>
  <c r="L191" i="1"/>
  <c r="L192" i="1"/>
  <c r="L193" i="1"/>
  <c r="L194" i="1"/>
  <c r="L189" i="1"/>
  <c r="L83" i="1"/>
  <c r="L84" i="1"/>
  <c r="L85" i="1"/>
  <c r="L86" i="1"/>
  <c r="L87" i="1"/>
  <c r="L88" i="1"/>
  <c r="L89" i="1"/>
  <c r="L76" i="1"/>
  <c r="L75" i="1" a="1"/>
  <c r="L58" i="1"/>
  <c r="L24" i="1"/>
  <c r="I581" i="3"/>
  <c r="H566" i="3"/>
  <c r="E562" i="3"/>
  <c r="E561" i="3"/>
  <c r="E560" i="3"/>
  <c r="F338" i="3"/>
  <c r="F339" i="3"/>
  <c r="F340" i="3"/>
  <c r="F341" i="3"/>
  <c r="F342" i="3"/>
  <c r="F343" i="3"/>
  <c r="F344" i="3"/>
  <c r="F345" i="3"/>
  <c r="F346" i="3"/>
  <c r="F347" i="3"/>
  <c r="F348" i="3"/>
  <c r="F349" i="3"/>
  <c r="F350" i="3"/>
  <c r="F351" i="3"/>
  <c r="F352" i="3"/>
  <c r="F353" i="3"/>
  <c r="F354" i="3"/>
  <c r="F355" i="3"/>
  <c r="F356" i="3"/>
  <c r="F337" i="3"/>
  <c r="F225" i="3"/>
  <c r="F125" i="3"/>
  <c r="F126" i="3"/>
  <c r="F127" i="3"/>
  <c r="F128" i="3"/>
  <c r="F129" i="3"/>
  <c r="F130" i="3"/>
  <c r="F124" i="3"/>
  <c r="F21" i="3"/>
  <c r="F22" i="3"/>
  <c r="F23" i="3"/>
  <c r="F24" i="3"/>
  <c r="F25" i="3"/>
  <c r="F26" i="3"/>
  <c r="F27" i="3"/>
  <c r="F20" i="3"/>
  <c r="F119" i="3"/>
  <c r="F18" i="3"/>
  <c r="H3" i="17" l="1"/>
  <c r="I3" i="17"/>
  <c r="J3" i="17"/>
  <c r="K3" i="17"/>
  <c r="C3" i="17"/>
  <c r="B307" i="17"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K435" i="1" l="1"/>
  <c r="L80" i="1"/>
  <c r="L78" i="1" a="1"/>
  <c r="H567" i="3"/>
  <c r="M325" i="1"/>
  <c r="M326" i="1"/>
  <c r="M327" i="1"/>
  <c r="M328" i="1"/>
  <c r="M329" i="1"/>
  <c r="M323" i="1"/>
  <c r="M324" i="1"/>
  <c r="F326" i="3"/>
  <c r="F227" i="3"/>
  <c r="F226" i="3"/>
  <c r="I169" i="12"/>
  <c r="I136" i="12"/>
  <c r="I6" i="7"/>
  <c r="I168" i="12"/>
  <c r="I166" i="12"/>
  <c r="I31" i="7"/>
  <c r="I7" i="7"/>
  <c r="I134" i="12"/>
  <c r="L542" i="1"/>
  <c r="I165" i="12"/>
  <c r="I32" i="7"/>
  <c r="I149" i="12"/>
  <c r="I148" i="12"/>
  <c r="M423" i="1" a="1"/>
  <c r="I135" i="12"/>
  <c r="K436" i="1"/>
  <c r="L541" i="1"/>
  <c r="L540" i="1"/>
  <c r="L543" i="1"/>
  <c r="I174" i="12"/>
  <c r="G293" i="1"/>
  <c r="L82" i="1"/>
  <c r="I441" i="3"/>
  <c r="L21" i="1"/>
  <c r="E310" i="1"/>
  <c r="L81" i="1"/>
  <c r="L188" i="1"/>
  <c r="F336" i="3"/>
  <c r="L186" i="1"/>
  <c r="P556" i="3"/>
  <c r="L59" i="1"/>
  <c r="H577" i="3"/>
  <c r="H565" i="3"/>
  <c r="L52" i="1"/>
  <c r="L30" i="1" a="1"/>
  <c r="C7" i="16"/>
  <c r="J29" i="12"/>
  <c r="I18" i="12"/>
  <c r="C66" i="16"/>
  <c r="C68" i="16"/>
  <c r="C17" i="16" a="1"/>
  <c r="C67" i="16"/>
  <c r="C65" i="16"/>
  <c r="G6" i="3"/>
  <c r="G10" i="3"/>
  <c r="J190" i="12"/>
  <c r="J179" i="12"/>
  <c r="G224" i="3"/>
  <c r="G19" i="3"/>
  <c r="L437" i="1"/>
  <c r="N325" i="1"/>
  <c r="G336" i="3"/>
  <c r="M190" i="1"/>
  <c r="M82" i="1"/>
  <c r="L452" i="3"/>
  <c r="J31" i="12"/>
  <c r="C56" i="16" l="1"/>
  <c r="AZ17" i="8"/>
  <c r="AZ16" i="8"/>
  <c r="AZ10" i="8"/>
  <c r="AZ12" i="8" s="1"/>
  <c r="E19" i="8" s="1"/>
  <c r="AV10" i="8"/>
  <c r="AV12" i="8" s="1"/>
  <c r="E18" i="8" s="1"/>
  <c r="AV17" i="8"/>
  <c r="AV16" i="8"/>
  <c r="AR10" i="8"/>
  <c r="AR12" i="8" s="1"/>
  <c r="E17" i="8" s="1"/>
  <c r="AR17" i="8"/>
  <c r="AN17" i="8"/>
  <c r="AR16" i="8"/>
  <c r="AN10" i="8"/>
  <c r="AN12" i="8" s="1"/>
  <c r="E16" i="8" s="1"/>
  <c r="AN16" i="8"/>
  <c r="AJ10" i="8"/>
  <c r="AJ12" i="8" s="1"/>
  <c r="E15" i="8" s="1"/>
  <c r="AJ17" i="8"/>
  <c r="AJ16" i="8"/>
  <c r="AF10" i="8"/>
  <c r="AF12" i="8" s="1"/>
  <c r="E14" i="8" s="1"/>
  <c r="AF17" i="8"/>
  <c r="AF16" i="8"/>
  <c r="AB10" i="8"/>
  <c r="AB12" i="8" s="1"/>
  <c r="E13" i="8" s="1"/>
  <c r="AB17" i="8"/>
  <c r="AB16" i="8"/>
  <c r="X10" i="8"/>
  <c r="X17" i="8"/>
  <c r="X16" i="8"/>
  <c r="T16" i="8"/>
  <c r="T10" i="8"/>
  <c r="S18" i="8" s="1"/>
  <c r="T17" i="8"/>
  <c r="T12" i="8" l="1"/>
  <c r="E11" i="8" s="1"/>
  <c r="X11" i="8"/>
  <c r="W18" i="8"/>
  <c r="AJ11" i="8"/>
  <c r="X12" i="8"/>
  <c r="E12" i="8" s="1"/>
  <c r="AR11" i="8"/>
  <c r="T11" i="8"/>
  <c r="AB11" i="8"/>
  <c r="AZ11" i="8"/>
  <c r="AV11" i="8"/>
  <c r="AN11" i="8"/>
  <c r="AF11" i="8"/>
  <c r="D14" i="8" s="1"/>
  <c r="D13" i="8" l="1"/>
  <c r="AA19" i="8"/>
  <c r="D11" i="8"/>
  <c r="G11" i="8" s="1"/>
  <c r="D17" i="8"/>
  <c r="AQ19" i="8"/>
  <c r="D16" i="8"/>
  <c r="AY19" i="8"/>
  <c r="D19" i="8"/>
  <c r="D15" i="8"/>
  <c r="D18" i="8"/>
  <c r="AU19" i="8"/>
  <c r="W19" i="8"/>
  <c r="D12" i="8"/>
  <c r="AE19" i="8"/>
  <c r="P10" i="8"/>
  <c r="O18" i="8" s="1"/>
  <c r="P17" i="8"/>
  <c r="P18" i="8"/>
  <c r="P12" i="8" l="1"/>
  <c r="E10" i="8" s="1"/>
  <c r="P11" i="8"/>
  <c r="D10" i="8" s="1"/>
  <c r="Q16" i="8" l="1"/>
  <c r="O19" i="8"/>
  <c r="O20" i="8" s="1"/>
  <c r="O21" i="8" s="1"/>
  <c r="G10" i="8"/>
  <c r="D9" i="3"/>
  <c r="B2" i="11" s="1"/>
  <c r="D62" i="1"/>
  <c r="D13" i="3"/>
  <c r="B3" i="11" s="1"/>
  <c r="O23" i="8" l="1"/>
  <c r="C61" i="16"/>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F10" i="8" l="1"/>
  <c r="I147" i="12"/>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Y18" i="8"/>
  <c r="AZ18" i="8"/>
  <c r="AO26" i="8"/>
  <c r="AU18" i="8"/>
  <c r="AV18" i="8"/>
  <c r="AK26" i="8"/>
  <c r="AQ18" i="8"/>
  <c r="AR18" i="8"/>
  <c r="AG26" i="8"/>
  <c r="AM18" i="8"/>
  <c r="AN18" i="8"/>
  <c r="AM19" i="8" s="1"/>
  <c r="AC26" i="8"/>
  <c r="AI18" i="8"/>
  <c r="AJ18" i="8"/>
  <c r="AI19" i="8" s="1"/>
  <c r="Y26" i="8"/>
  <c r="AE18" i="8"/>
  <c r="AF18" i="8"/>
  <c r="U26" i="8"/>
  <c r="AA18" i="8"/>
  <c r="AB18" i="8"/>
  <c r="Q26" i="8"/>
  <c r="X18" i="8"/>
  <c r="W20" i="8" s="1"/>
  <c r="W21" i="8" s="1"/>
  <c r="M26" i="8"/>
  <c r="T18" i="8"/>
  <c r="S19" i="8" s="1"/>
  <c r="S20" i="8" l="1"/>
  <c r="S21" i="8" s="1"/>
  <c r="AY20" i="8"/>
  <c r="AY21" i="8" s="1"/>
  <c r="AM20" i="8"/>
  <c r="L57" i="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D152" i="12" l="1"/>
  <c r="D150" i="12"/>
  <c r="I141" i="12"/>
  <c r="C41" i="16" s="1"/>
  <c r="D137" i="12"/>
  <c r="E129" i="12"/>
  <c r="D22" i="12"/>
  <c r="H18" i="12" s="1"/>
  <c r="C38" i="16" s="1"/>
  <c r="D12" i="12"/>
  <c r="D11" i="12" s="1"/>
  <c r="F3" i="12"/>
  <c r="F2" i="12"/>
  <c r="K466" i="3"/>
  <c r="H454" i="3"/>
  <c r="I454" i="3" s="1"/>
  <c r="I30" i="12" l="1"/>
  <c r="I31" i="12"/>
  <c r="I29" i="12"/>
  <c r="P22" i="8"/>
  <c r="H17" i="7"/>
  <c r="D6" i="9"/>
  <c r="C39" i="16" l="1"/>
  <c r="C36" i="16" s="1"/>
  <c r="K549" i="3"/>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G19" i="8"/>
  <c r="G18" i="8"/>
  <c r="G17" i="8"/>
  <c r="G16" i="8"/>
  <c r="G15" i="8"/>
  <c r="G14" i="8"/>
  <c r="G13" i="8"/>
  <c r="Y16" i="8" l="1"/>
  <c r="W23" i="8" s="1"/>
  <c r="F12" i="8" s="1"/>
  <c r="G12" i="8"/>
  <c r="U16" i="8"/>
  <c r="S23" i="8" s="1"/>
  <c r="F11" i="8" s="1"/>
  <c r="BA16" i="8"/>
  <c r="J450" i="3"/>
  <c r="J451" i="3"/>
  <c r="E4" i="11"/>
  <c r="AW16" i="8"/>
  <c r="AU20" i="8"/>
  <c r="AU21" i="8" s="1"/>
  <c r="AS16" i="8"/>
  <c r="AO16" i="8"/>
  <c r="AK16" i="8"/>
  <c r="AG16" i="8"/>
  <c r="AA20" i="8"/>
  <c r="AA21" i="8" s="1"/>
  <c r="AC16" i="8"/>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I450" i="3" s="1"/>
  <c r="J26" i="1"/>
  <c r="G26" i="1"/>
  <c r="D26" i="1"/>
  <c r="G67" i="1" s="1"/>
  <c r="K25" i="1"/>
  <c r="D25" i="1"/>
  <c r="G66" i="1" s="1"/>
  <c r="AQ20" i="8" l="1"/>
  <c r="AQ21" i="8" s="1"/>
  <c r="AQ23" i="8" s="1"/>
  <c r="AE20" i="8"/>
  <c r="AE21" i="8" s="1"/>
  <c r="AM21" i="8"/>
  <c r="AM23" i="8" s="1"/>
  <c r="AI20" i="8"/>
  <c r="AA23" i="8"/>
  <c r="AY23" i="8"/>
  <c r="K26" i="1"/>
  <c r="G4" i="11"/>
  <c r="H452" i="3" s="1"/>
  <c r="I452" i="3" s="1"/>
  <c r="J452" i="3"/>
  <c r="AU23" i="8"/>
  <c r="X22" i="8"/>
  <c r="H451" i="3"/>
  <c r="I451" i="3" s="1"/>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A32" i="8" l="1"/>
  <c r="B32" i="8"/>
  <c r="AR22" i="8"/>
  <c r="F17" i="8"/>
  <c r="AB22" i="8"/>
  <c r="F13" i="8"/>
  <c r="AV22" i="8"/>
  <c r="F18" i="8"/>
  <c r="AZ22" i="8"/>
  <c r="F19" i="8"/>
  <c r="AN22" i="8"/>
  <c r="F16" i="8"/>
  <c r="AI21" i="8"/>
  <c r="AI23" i="8" s="1"/>
  <c r="AJ22" i="8" s="1"/>
  <c r="AE23" i="8"/>
  <c r="C14" i="16"/>
  <c r="T22" i="8"/>
  <c r="AF22" i="8" l="1"/>
  <c r="G14" i="1" s="1"/>
  <c r="F14" i="8"/>
  <c r="F15" i="8"/>
  <c r="J14" i="1"/>
  <c r="L12" i="1" l="1" a="1"/>
  <c r="C21" i="16" s="1"/>
  <c r="K14" i="1"/>
  <c r="A29" i="8"/>
  <c r="C12" i="16"/>
  <c r="C10" i="16" s="1"/>
  <c r="L324" i="1" l="1"/>
  <c r="L326" i="1"/>
  <c r="L327" i="1"/>
  <c r="L328" i="1"/>
  <c r="J427" i="1" s="1"/>
  <c r="L329" i="1"/>
  <c r="J426" i="1" s="1"/>
  <c r="L330" i="1"/>
  <c r="L331" i="1"/>
  <c r="L332" i="1"/>
  <c r="L333" i="1"/>
  <c r="L334" i="1"/>
  <c r="L335" i="1"/>
  <c r="L336" i="1"/>
  <c r="L422" i="1"/>
  <c r="J428" i="1" l="1"/>
  <c r="C19" i="16" l="1"/>
  <c r="J425" i="1"/>
  <c r="K12" i="1"/>
  <c r="D22" i="9" l="1"/>
  <c r="D18" i="9"/>
  <c r="H27" i="7" l="1"/>
  <c r="I27" i="7" s="1"/>
  <c r="K13" i="1" l="1"/>
  <c r="C34" i="16" l="1"/>
  <c r="C31" i="16" s="1"/>
  <c r="C3" i="16" l="1" a="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<sst xmlns="http://schemas.openxmlformats.org/spreadsheetml/2006/main" count="10050" uniqueCount="9559">
  <si>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</si>
  <si>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</si>
  <si>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</si>
  <si>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</si>
  <si>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</si>
  <si>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</si>
  <si>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</si>
  <si>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</si>
  <si>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</si>
  <si>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</si>
  <si>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</si>
  <si>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</si>
  <si>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</si>
  <si>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</si>
  <si>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</si>
  <si>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</si>
  <si>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</si>
  <si>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</si>
  <si>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</si>
  <si>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</si>
  <si>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</si>
  <si>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</si>
  <si>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</si>
  <si>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</si>
  <si>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</si>
  <si>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</si>
  <si>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</si>
  <si>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</si>
  <si>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</si>
  <si>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</si>
  <si>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</si>
  <si>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</si>
  <si>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</si>
  <si>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</si>
  <si>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</si>
  <si>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</si>
  <si>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</si>
  <si>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</si>
  <si>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</si>
  <si>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</si>
  <si>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</si>
  <si>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</si>
  <si>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</si>
  <si>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</si>
  <si>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</si>
  <si>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</si>
  <si>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</si>
  <si>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</si>
  <si>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</si>
  <si>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</si>
  <si>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</si>
  <si>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</si>
  <si>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</si>
  <si>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</si>
  <si>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</si>
  <si>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</si>
  <si>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</si>
  <si>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</si>
  <si>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</si>
  <si>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</si>
  <si>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</si>
  <si>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</si>
  <si>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</si>
  <si>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</si>
  <si>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</si>
  <si>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</si>
  <si>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</si>
  <si>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</si>
  <si>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</si>
  <si>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</si>
  <si>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</si>
  <si>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</si>
  <si>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</si>
  <si>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</si>
  <si>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</si>
  <si>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</si>
  <si>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</si>
  <si>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</si>
  <si>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</si>
  <si>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</si>
  <si>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</si>
  <si>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</si>
  <si>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</si>
  <si>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</si>
  <si>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</si>
  <si>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</si>
  <si>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</si>
  <si>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</si>
  <si>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</si>
  <si>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</si>
  <si>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</si>
  <si>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</si>
  <si>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</si>
  <si>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</si>
  <si>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</si>
  <si>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</si>
  <si>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</si>
  <si>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</si>
  <si>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</si>
  <si>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</si>
  <si>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</si>
  <si>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</si>
  <si>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</si>
  <si>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</si>
  <si>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</si>
  <si>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</si>
  <si>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</si>
  <si>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</si>
  <si>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</si>
  <si>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</si>
  <si>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</si>
  <si>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</si>
  <si>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</si>
  <si>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</si>
  <si>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</si>
  <si>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</si>
  <si>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</si>
  <si>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</si>
  <si>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</si>
  <si>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</si>
  <si>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</si>
  <si>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</si>
  <si>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</si>
  <si>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</si>
  <si>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</si>
  <si>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</si>
  <si>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</si>
  <si>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</si>
  <si>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</si>
  <si>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</si>
  <si>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</si>
  <si>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</si>
  <si>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</si>
  <si>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</si>
  <si>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</si>
  <si>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</si>
  <si>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</si>
  <si>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</si>
  <si>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</si>
  <si>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</si>
  <si>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</si>
  <si>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</si>
  <si>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</si>
  <si>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</si>
  <si>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</si>
  <si>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</si>
  <si>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</si>
  <si>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</si>
  <si>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</si>
  <si>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</si>
  <si>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</si>
  <si>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</si>
  <si>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</si>
  <si>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</si>
  <si>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</si>
  <si>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</si>
  <si>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</si>
  <si>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</si>
  <si>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</si>
  <si>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</si>
  <si>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</si>
  <si>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</si>
  <si>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</si>
  <si>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</si>
  <si>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</si>
  <si>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</si>
  <si>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</si>
  <si>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</si>
  <si>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</si>
  <si>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</si>
  <si>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</si>
  <si>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</si>
  <si>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</si>
  <si>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</si>
  <si>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</si>
  <si>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</si>
  <si>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</si>
  <si>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</si>
  <si>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</si>
  <si>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</si>
  <si>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</si>
  <si>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</si>
  <si>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</si>
  <si>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</si>
  <si>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</si>
  <si>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</si>
  <si>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</si>
  <si>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</si>
  <si>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</si>
  <si>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</si>
  <si>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</si>
  <si>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</si>
  <si>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</si>
  <si>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</si>
  <si>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</si>
  <si>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</si>
  <si>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</si>
  <si>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</si>
  <si>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</si>
  <si>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</si>
  <si>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</si>
  <si>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</si>
  <si>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</si>
  <si>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</si>
  <si>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</si>
  <si>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</si>
  <si>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</si>
  <si>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</si>
  <si>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</si>
  <si>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</si>
  <si>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</si>
  <si>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</si>
  <si>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</si>
  <si>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</si>
  <si>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</si>
  <si>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</si>
  <si>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</si>
  <si>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</si>
  <si>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</si>
  <si>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</si>
  <si>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</si>
  <si>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</si>
  <si>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</si>
  <si>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</si>
  <si>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</si>
  <si>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</si>
  <si>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</si>
  <si>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</si>
  <si>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</si>
  <si>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</si>
  <si>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</si>
  <si>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</si>
  <si>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</si>
  <si>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</si>
  <si>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</si>
  <si>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</si>
  <si>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</si>
  <si>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</si>
  <si>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</si>
  <si>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</si>
  <si>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</si>
  <si>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</si>
  <si>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</si>
  <si>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</si>
  <si>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</si>
  <si>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</si>
  <si>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</si>
  <si>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</si>
  <si>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</si>
  <si>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</si>
  <si>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</si>
  <si>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</si>
  <si>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</si>
  <si>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</si>
  <si>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</si>
  <si>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</si>
  <si>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</si>
  <si>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</si>
  <si>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</si>
  <si>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</si>
  <si>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</si>
  <si>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</si>
  <si>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</si>
  <si>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</si>
  <si>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</si>
  <si>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</si>
  <si>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</si>
  <si>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</si>
  <si>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</si>
  <si>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</si>
  <si>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</si>
  <si>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</si>
  <si>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</si>
  <si>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</si>
  <si>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</si>
  <si>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</si>
  <si>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</si>
  <si>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</si>
  <si>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</si>
  <si>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</si>
  <si>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</si>
  <si>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</si>
  <si>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</si>
  <si>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</si>
  <si>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</si>
  <si>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</si>
  <si>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</si>
  <si>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</si>
  <si>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</si>
  <si>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</si>
  <si>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</si>
  <si>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</si>
  <si>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</si>
  <si>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</si>
  <si>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</si>
  <si>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</si>
  <si>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</si>
  <si>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</si>
  <si>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</si>
  <si>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</si>
  <si>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</si>
  <si>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</si>
  <si>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</si>
  <si>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</si>
  <si>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</si>
  <si>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</si>
  <si>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</si>
  <si>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</si>
  <si>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</si>
  <si>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</si>
  <si>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</si>
  <si>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</si>
  <si>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</si>
  <si>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</si>
  <si>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</si>
  <si>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</si>
  <si>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</si>
  <si>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</si>
  <si>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</si>
  <si>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</si>
  <si>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</si>
  <si>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</si>
  <si>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</si>
  <si>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</si>
  <si>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</si>
  <si>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</si>
  <si>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</si>
  <si>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</si>
  <si>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</si>
  <si>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</si>
  <si>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</si>
  <si>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</si>
  <si>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</si>
  <si>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</si>
  <si>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</si>
  <si>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</si>
  <si>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</si>
  <si>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</si>
  <si>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</si>
  <si>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</si>
  <si>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</si>
  <si>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</si>
  <si>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</si>
  <si>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</si>
  <si>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</si>
  <si>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</si>
  <si>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</si>
  <si>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</si>
  <si>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</si>
  <si>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</si>
  <si>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</si>
  <si>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</si>
  <si>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</si>
  <si>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</si>
  <si>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</si>
  <si>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</si>
  <si>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</si>
  <si>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</si>
  <si>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</si>
  <si>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</si>
  <si>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</si>
  <si>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</si>
  <si>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</si>
  <si>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</si>
  <si>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</si>
  <si>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</si>
  <si>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</si>
  <si>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</si>
  <si>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</si>
  <si>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</si>
  <si>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</si>
  <si>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</si>
  <si>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</si>
  <si>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</si>
  <si>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</si>
  <si>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</si>
  <si>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</si>
  <si>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</si>
  <si>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</si>
  <si>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</si>
  <si>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</si>
  <si>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</si>
  <si>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</si>
  <si>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</si>
  <si>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</si>
  <si>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</si>
  <si>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</si>
  <si>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</si>
  <si>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</si>
  <si>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</si>
  <si>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</si>
  <si>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</si>
  <si>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</si>
  <si>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</si>
  <si>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</si>
  <si>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</si>
  <si>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</si>
  <si>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</si>
  <si>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</si>
  <si>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</si>
  <si>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</si>
  <si>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</si>
  <si>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</si>
  <si>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</si>
  <si>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</si>
  <si>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</si>
  <si>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</si>
  <si>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</si>
  <si>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</si>
  <si>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</si>
  <si>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</si>
  <si>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</si>
  <si>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</si>
  <si>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</si>
  <si>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</si>
  <si>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</si>
  <si>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</si>
  <si>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</si>
  <si>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</si>
  <si>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</si>
  <si>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</si>
  <si>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</si>
  <si>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</si>
  <si>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</si>
  <si>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</si>
  <si>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</si>
  <si>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</si>
  <si>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</si>
  <si>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</si>
  <si>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</si>
  <si>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</si>
  <si>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</si>
  <si>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</si>
  <si>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</si>
  <si>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</si>
  <si>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</si>
  <si>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</si>
  <si>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</si>
  <si>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</si>
  <si>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</si>
  <si>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</si>
  <si>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</si>
  <si>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</si>
  <si>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</si>
  <si>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</si>
  <si>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</si>
  <si>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</si>
  <si>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</si>
  <si>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</si>
  <si>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</si>
  <si>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</si>
  <si>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</si>
  <si>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</si>
  <si>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</si>
  <si>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</si>
  <si>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</si>
  <si>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</si>
  <si>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</si>
  <si>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</si>
  <si>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</si>
  <si>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</si>
  <si>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</si>
  <si>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</si>
  <si>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</si>
  <si>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</si>
  <si>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</si>
  <si>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</si>
  <si>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</si>
  <si>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</si>
  <si>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</si>
  <si>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</si>
  <si>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</si>
  <si>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</si>
  <si>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</si>
  <si>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</si>
  <si>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</si>
  <si>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</si>
  <si>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</si>
  <si>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</si>
  <si>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</si>
  <si>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</si>
  <si>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</si>
  <si>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</si>
  <si>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</si>
  <si>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</si>
  <si>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</si>
  <si>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</si>
  <si>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</si>
  <si>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</si>
  <si>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</si>
  <si>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</si>
  <si>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</si>
  <si>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</si>
  <si>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</si>
  <si>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</si>
  <si>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</si>
  <si>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</si>
  <si>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</si>
  <si>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</si>
  <si>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</si>
  <si>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</si>
  <si>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</si>
  <si>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</si>
  <si>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</si>
  <si>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</si>
  <si>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</si>
  <si>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</si>
  <si>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</si>
  <si>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</si>
  <si>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</si>
  <si>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</si>
  <si>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</si>
  <si>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</si>
  <si>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</si>
  <si>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</si>
  <si>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</si>
  <si>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</si>
  <si>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</si>
  <si>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</si>
  <si>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</si>
  <si>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</si>
  <si>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</si>
  <si>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</si>
  <si>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</si>
  <si>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</si>
  <si>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</si>
  <si>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</si>
  <si>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</si>
  <si>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</si>
  <si>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</si>
  <si>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</si>
  <si>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</si>
  <si>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</si>
  <si>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</si>
  <si>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</si>
  <si>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</si>
  <si>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</si>
  <si>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</si>
  <si>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</si>
  <si>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</si>
  <si>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</si>
  <si>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</si>
  <si>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</si>
  <si>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</si>
  <si>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</si>
  <si>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</si>
  <si>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</si>
  <si>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</si>
  <si>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</si>
  <si>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</si>
  <si>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</si>
  <si>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</si>
  <si>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</si>
  <si>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</si>
  <si>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</si>
  <si>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</si>
  <si>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</si>
  <si>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</si>
  <si>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</si>
  <si>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</si>
  <si>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</si>
  <si>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</si>
  <si>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</si>
  <si>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</si>
  <si>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</si>
  <si>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</si>
  <si>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</si>
  <si>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</si>
  <si>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</si>
  <si>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</si>
  <si>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</si>
  <si>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</si>
  <si>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</si>
  <si>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</si>
  <si>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</si>
  <si>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</si>
  <si>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</si>
  <si>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</si>
  <si>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</si>
  <si>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</si>
  <si>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</si>
  <si>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</si>
  <si>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</si>
  <si>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</si>
  <si>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</si>
  <si>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</si>
  <si>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</si>
  <si>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</si>
  <si>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</si>
  <si>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</si>
  <si>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</si>
  <si>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</si>
  <si>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</si>
  <si>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</si>
  <si>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</si>
  <si>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</si>
  <si>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</si>
  <si>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</si>
  <si>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</si>
  <si>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</si>
  <si>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</si>
  <si>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</si>
  <si>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</si>
  <si>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</si>
  <si>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</si>
  <si>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</si>
  <si>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</si>
  <si>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</si>
  <si>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</si>
  <si>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</si>
  <si>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</si>
  <si>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</si>
  <si>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</si>
  <si>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</si>
  <si>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</si>
  <si>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</si>
  <si>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</si>
  <si>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</si>
  <si>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</si>
  <si>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</si>
  <si>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</si>
  <si>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</si>
  <si>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</si>
  <si>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</si>
  <si>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</si>
  <si>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</si>
  <si>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</si>
  <si>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</si>
  <si>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</si>
  <si>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</si>
  <si>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</si>
  <si>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</si>
  <si>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</si>
  <si>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</si>
  <si>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</si>
  <si>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</si>
  <si>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</si>
  <si>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</si>
  <si>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</si>
  <si>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</si>
  <si>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</si>
  <si>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</si>
  <si>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</si>
  <si>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</si>
  <si>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</si>
  <si>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</si>
  <si>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</si>
  <si>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</si>
  <si>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</si>
  <si>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</si>
  <si>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</si>
  <si>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</si>
  <si>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</si>
  <si>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</si>
  <si>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</si>
  <si>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</si>
  <si>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</si>
  <si>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</si>
  <si>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</si>
  <si>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</si>
  <si>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</si>
  <si>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</si>
  <si>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</si>
  <si>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</si>
  <si>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</si>
  <si>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</si>
  <si>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</si>
  <si>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</si>
  <si>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</si>
  <si>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</si>
  <si>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</si>
  <si>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</si>
  <si>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</si>
  <si>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</si>
  <si>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</si>
  <si>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</si>
  <si>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</si>
  <si>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</si>
  <si>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</si>
  <si>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</si>
  <si>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</si>
  <si>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</si>
  <si>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</si>
  <si>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</si>
  <si>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</si>
  <si>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</si>
  <si>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</si>
  <si>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</si>
  <si>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</si>
  <si>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</si>
  <si>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</si>
  <si>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</si>
  <si>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</si>
  <si>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</si>
  <si>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</si>
  <si>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</si>
  <si>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</si>
  <si>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</si>
  <si>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</si>
  <si>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</si>
  <si>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</si>
  <si>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</si>
  <si>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</si>
  <si>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</si>
  <si>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</si>
  <si>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</si>
  <si>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</si>
  <si>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</si>
  <si>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</si>
  <si>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</si>
  <si>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</si>
  <si>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</si>
  <si>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</si>
  <si>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</si>
  <si>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</si>
  <si>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</si>
  <si>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</si>
  <si>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</si>
  <si>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</si>
  <si>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</si>
  <si>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</si>
  <si>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</si>
  <si>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</si>
  <si>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</si>
  <si>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</si>
  <si>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</si>
  <si>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</si>
  <si>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</si>
  <si>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</si>
  <si>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</si>
  <si>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</si>
  <si>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</si>
  <si>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</si>
  <si>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</si>
  <si>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</si>
  <si>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</si>
  <si>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</si>
  <si>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</si>
  <si>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</si>
  <si>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</si>
  <si>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</si>
  <si>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</si>
  <si>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</si>
  <si>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</si>
  <si>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</si>
  <si>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</si>
  <si>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</si>
  <si>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</si>
  <si>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</si>
  <si>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</si>
  <si>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</si>
  <si>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</si>
  <si>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</si>
  <si>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</si>
  <si>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</si>
  <si>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</si>
  <si>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</si>
  <si>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</si>
  <si>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</si>
  <si>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</si>
  <si>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</si>
  <si>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</si>
  <si>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</si>
  <si>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</si>
  <si>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</si>
  <si>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</si>
  <si>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</si>
  <si>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</si>
  <si>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</si>
  <si>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</si>
  <si>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</si>
  <si>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</si>
  <si>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</si>
  <si>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</si>
  <si>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</si>
  <si>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</si>
  <si>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</si>
  <si>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</si>
  <si>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</si>
  <si>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</si>
  <si>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</si>
  <si>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</si>
  <si>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</si>
  <si>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</si>
  <si>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</si>
  <si>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</si>
  <si>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</si>
  <si>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</si>
  <si>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</si>
  <si>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</si>
  <si>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</si>
  <si>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</si>
  <si>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</si>
  <si>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</si>
  <si>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</si>
  <si>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</si>
  <si>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</si>
  <si>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</si>
  <si>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</si>
  <si>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</si>
  <si>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</si>
  <si>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</si>
  <si>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</si>
  <si>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</si>
  <si>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</si>
  <si>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</si>
  <si>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</si>
  <si>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</si>
  <si>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</si>
  <si>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</si>
  <si>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</si>
  <si>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</si>
  <si>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</si>
  <si>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</si>
  <si>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</si>
  <si>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</si>
  <si>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</si>
  <si>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</si>
  <si>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</si>
  <si>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</si>
  <si>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</si>
  <si>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</si>
  <si>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</si>
  <si>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</si>
  <si>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</si>
  <si>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</si>
  <si>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</si>
  <si>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</si>
  <si>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</si>
  <si>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</si>
  <si>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</si>
  <si>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</si>
  <si>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</si>
  <si>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</si>
  <si>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</si>
  <si>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</si>
  <si>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</si>
  <si>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</si>
  <si>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</si>
  <si>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</si>
  <si>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</si>
  <si>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</si>
  <si>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</si>
  <si>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</si>
  <si>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</si>
  <si>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</si>
  <si>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</si>
  <si>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</si>
  <si>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</si>
  <si>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</si>
  <si>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</si>
  <si>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</si>
  <si>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</si>
  <si>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</si>
  <si>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</si>
  <si>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</si>
  <si>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</si>
  <si>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</si>
  <si>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</si>
  <si>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</si>
  <si>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</si>
  <si>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</si>
  <si>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</si>
  <si>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</si>
  <si>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</si>
  <si>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</si>
  <si>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</si>
  <si>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</si>
  <si>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</si>
  <si>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</si>
  <si>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</si>
  <si>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</si>
  <si>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</si>
  <si>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</si>
  <si>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</si>
  <si>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</si>
  <si>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</si>
  <si>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</si>
  <si>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</si>
  <si>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</si>
  <si>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</si>
  <si>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</si>
  <si>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</si>
  <si>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</si>
  <si>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</si>
  <si>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</si>
  <si>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</si>
  <si>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</si>
  <si>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</si>
  <si>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</si>
  <si>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</si>
  <si>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</si>
  <si>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</si>
  <si>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</si>
  <si>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</si>
  <si>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</si>
  <si>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</si>
  <si>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</si>
  <si>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</si>
  <si>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</si>
  <si>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</si>
  <si>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</si>
  <si>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</si>
  <si>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</si>
  <si>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</si>
  <si>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</si>
  <si>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</si>
  <si>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</si>
  <si>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</si>
  <si>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</si>
  <si>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</si>
  <si>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</si>
  <si>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</si>
  <si>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</si>
  <si>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</si>
  <si>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</si>
  <si>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</si>
  <si>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</si>
  <si>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</si>
  <si>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</si>
  <si>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</si>
  <si>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</si>
  <si>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</si>
  <si>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</si>
  <si>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</si>
  <si>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</si>
  <si>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</si>
  <si>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</si>
  <si>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</si>
  <si>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</si>
  <si>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</si>
  <si>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</si>
  <si>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</si>
  <si>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</si>
  <si>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</si>
  <si>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</si>
  <si>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</si>
  <si>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</si>
  <si>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</si>
  <si>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</si>
  <si>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</si>
  <si>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</si>
  <si>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</si>
  <si>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</si>
  <si>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</si>
  <si>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</si>
  <si>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</si>
  <si>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</si>
  <si>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</si>
  <si>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</si>
  <si>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</si>
  <si>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</si>
  <si>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</si>
  <si>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</si>
  <si>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</si>
  <si>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</si>
  <si>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</si>
  <si>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</si>
  <si>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</si>
  <si>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</si>
  <si>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</si>
  <si>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</si>
  <si>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</si>
  <si>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</si>
  <si>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</si>
  <si>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</si>
  <si>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</si>
  <si>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</si>
  <si>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</si>
  <si>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</si>
  <si>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</si>
  <si>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</si>
  <si>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</si>
  <si>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</si>
  <si>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</si>
  <si>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</si>
  <si>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</si>
  <si>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</si>
  <si>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</si>
  <si>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</si>
  <si>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</si>
  <si>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</si>
  <si>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</si>
  <si>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</si>
  <si>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</si>
  <si>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</si>
  <si>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</si>
  <si>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</si>
  <si>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</si>
  <si>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</si>
  <si>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</si>
  <si>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</si>
  <si>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</si>
  <si>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</si>
  <si>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</si>
  <si>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</si>
  <si>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</si>
  <si>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</si>
  <si>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</si>
  <si>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</si>
  <si>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</si>
  <si>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</si>
  <si>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</si>
  <si>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</si>
  <si>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</si>
  <si>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</si>
  <si>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</si>
  <si>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</si>
  <si>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</si>
  <si>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</si>
  <si>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</si>
  <si>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</si>
  <si>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</si>
  <si>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</si>
  <si>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</si>
  <si>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</si>
  <si>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</si>
  <si>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</si>
  <si>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</si>
  <si>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</si>
  <si>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</si>
  <si>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</si>
  <si>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</si>
  <si>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</si>
  <si>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</si>
  <si>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</si>
  <si>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</si>
  <si>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</si>
  <si>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</si>
  <si>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</si>
  <si>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</si>
  <si>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</si>
  <si>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</si>
  <si>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</si>
  <si>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</si>
  <si>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</si>
  <si>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</si>
  <si>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</si>
  <si>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</si>
  <si>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</si>
  <si>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</si>
  <si>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</si>
  <si>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</si>
  <si>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</si>
  <si>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</si>
  <si>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</si>
  <si>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</si>
  <si>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</si>
  <si>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</si>
  <si>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</si>
  <si>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</si>
  <si>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</si>
  <si>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</si>
  <si>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</si>
  <si>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</si>
  <si>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</si>
  <si>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</si>
  <si>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</si>
  <si>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</si>
  <si>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</si>
  <si>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</si>
  <si>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</si>
  <si>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</si>
  <si>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</si>
  <si>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</si>
  <si>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</si>
  <si>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</si>
  <si>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</si>
  <si>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</si>
  <si>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</si>
  <si>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</si>
  <si>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</si>
  <si>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</si>
  <si>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</si>
  <si>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</si>
  <si>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</si>
  <si>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</si>
  <si>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</si>
  <si>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</si>
  <si>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</si>
  <si>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</si>
  <si>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</si>
  <si>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</si>
  <si>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</si>
  <si>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</si>
  <si>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</si>
  <si>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</si>
  <si>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</si>
  <si>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</si>
  <si>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</si>
  <si>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</si>
  <si>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</si>
  <si>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</si>
  <si>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</si>
  <si>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</si>
  <si>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</si>
  <si>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</si>
  <si>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</si>
  <si>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</si>
  <si>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</si>
  <si>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</si>
  <si>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</si>
  <si>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</si>
  <si>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</si>
  <si>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</si>
  <si>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</si>
  <si>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</si>
  <si>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</si>
  <si>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</si>
  <si>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</si>
  <si>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</si>
  <si>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</si>
  <si>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</si>
  <si>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</si>
  <si>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</si>
  <si>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</si>
  <si>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</si>
  <si>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</si>
  <si>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</si>
  <si>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</si>
  <si>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</si>
  <si>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</si>
  <si>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</si>
  <si>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</si>
  <si>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</si>
  <si>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</si>
  <si>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</si>
  <si>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</si>
  <si>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</si>
  <si>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</si>
  <si>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</si>
  <si>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</si>
  <si>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</si>
  <si>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</si>
  <si>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</si>
  <si>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</si>
  <si>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</si>
  <si>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</si>
  <si>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</si>
  <si>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</si>
  <si>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</si>
  <si>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</si>
  <si>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</si>
  <si>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</si>
  <si>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</si>
  <si>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</si>
  <si>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</si>
  <si>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</si>
  <si>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</si>
  <si>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</si>
  <si>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</si>
  <si>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</si>
  <si>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</si>
  <si>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</si>
  <si>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</si>
  <si>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</si>
  <si>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</si>
  <si>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</si>
  <si>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</si>
  <si>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</si>
  <si>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</si>
  <si>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</si>
  <si>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</si>
  <si>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</si>
  <si>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</si>
  <si>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</si>
  <si>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</si>
  <si>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</si>
  <si>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</si>
  <si>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</si>
  <si>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</si>
  <si>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</si>
  <si>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</si>
  <si>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</si>
  <si>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</si>
  <si>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</si>
  <si>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</si>
  <si>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</si>
  <si>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</si>
  <si>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</si>
  <si>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</si>
  <si>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</si>
  <si>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</si>
  <si>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</si>
  <si>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</si>
  <si>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</si>
  <si>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</si>
  <si>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</si>
  <si>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</si>
  <si>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</si>
  <si>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</si>
  <si>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</si>
  <si>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</si>
  <si>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</si>
  <si>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</si>
  <si>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</si>
  <si>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</si>
  <si>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</si>
  <si>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</si>
  <si>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</si>
  <si>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</si>
  <si>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</si>
  <si>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</si>
  <si>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</si>
  <si>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</si>
  <si>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</si>
  <si>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</si>
  <si>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</si>
  <si>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</si>
  <si>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</si>
  <si>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</si>
  <si>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</si>
  <si>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</si>
  <si>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</si>
  <si>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</si>
  <si>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</si>
  <si>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</si>
  <si>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</si>
  <si>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</si>
  <si>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</si>
  <si>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</si>
  <si>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</si>
  <si>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</si>
  <si>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</si>
  <si>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</si>
  <si>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</si>
  <si>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</si>
  <si>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</si>
  <si>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</si>
  <si>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</si>
  <si>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</si>
  <si>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</si>
  <si>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</si>
  <si>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</si>
  <si>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</si>
  <si>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</si>
  <si>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</si>
  <si>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</si>
  <si>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</si>
  <si>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</si>
  <si>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</si>
  <si>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</si>
  <si>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</si>
  <si>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</si>
  <si>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</si>
  <si>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</si>
  <si>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</si>
  <si>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</si>
  <si>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</si>
  <si>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</si>
  <si>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</si>
  <si>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</si>
  <si>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</si>
  <si>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</si>
  <si>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</si>
  <si>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</si>
  <si>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</si>
  <si>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</si>
  <si>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</si>
  <si>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</si>
  <si>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</si>
  <si>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</si>
  <si>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</si>
  <si>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</si>
  <si>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</si>
  <si>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</si>
  <si>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</si>
  <si>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</si>
  <si>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</si>
  <si>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</si>
  <si>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</si>
  <si>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</si>
  <si>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</si>
  <si>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</si>
  <si>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</si>
  <si>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</si>
  <si>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</si>
  <si>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</si>
  <si>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</si>
  <si>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</si>
  <si>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</si>
  <si>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</si>
  <si>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</si>
  <si>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</si>
  <si>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</si>
  <si>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</si>
  <si>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</si>
  <si>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</si>
  <si>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</si>
  <si>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</si>
  <si>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</si>
  <si>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</si>
  <si>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</si>
  <si>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</si>
  <si>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</si>
  <si>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</si>
  <si>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</si>
  <si>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</si>
  <si>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</si>
  <si>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</si>
  <si>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</si>
  <si>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</si>
  <si>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</si>
  <si>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</si>
  <si>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</si>
  <si>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</si>
  <si>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</si>
  <si>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</si>
  <si>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</si>
  <si>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</si>
  <si>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</si>
  <si>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</si>
  <si>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</si>
  <si>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</si>
  <si>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</si>
  <si>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</si>
  <si>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</si>
  <si>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</si>
  <si>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</si>
  <si>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</si>
  <si>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</si>
  <si>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</si>
  <si>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</si>
  <si>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</si>
  <si>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</si>
  <si>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</si>
  <si>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</si>
  <si>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</si>
  <si>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</si>
  <si>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</si>
  <si>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</si>
  <si>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</si>
  <si>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</si>
  <si>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</si>
  <si>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</si>
  <si>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</si>
  <si>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</si>
  <si>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</si>
  <si>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</si>
  <si>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</si>
  <si>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</si>
  <si>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</si>
  <si>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</si>
  <si>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</si>
  <si>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</si>
  <si>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</si>
  <si>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</si>
  <si>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</si>
  <si>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</si>
  <si>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</si>
  <si>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</si>
  <si>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</si>
  <si>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</si>
  <si>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</si>
  <si>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</si>
  <si>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</si>
  <si>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</si>
  <si>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</si>
  <si>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</si>
  <si>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</si>
  <si>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</si>
  <si>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</si>
  <si>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</si>
  <si>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</si>
  <si>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</si>
  <si>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</si>
  <si>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</si>
  <si>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</si>
  <si>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</si>
  <si>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</si>
  <si>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</si>
  <si>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</si>
  <si>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</si>
  <si>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</si>
  <si>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</si>
  <si>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</si>
  <si>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</si>
  <si>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</si>
  <si>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</si>
  <si>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</si>
  <si>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</si>
  <si>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</si>
  <si>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</si>
  <si>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</si>
  <si>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</si>
  <si>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</si>
  <si>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</si>
  <si>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</si>
  <si>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</si>
  <si>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</si>
  <si>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</si>
  <si>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</si>
  <si>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</si>
  <si>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</si>
  <si>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</si>
  <si>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</si>
  <si>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</si>
  <si>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</si>
  <si>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</si>
  <si>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</si>
  <si>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</si>
  <si>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</si>
  <si>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</si>
  <si>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</si>
  <si>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</si>
  <si>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</si>
  <si>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</si>
  <si>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</si>
  <si>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</si>
  <si>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</si>
  <si>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</si>
  <si>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</si>
  <si>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</si>
  <si>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</si>
  <si>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</si>
  <si>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</si>
  <si>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</si>
  <si>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</si>
  <si>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</si>
  <si>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</si>
  <si>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</si>
  <si>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</si>
  <si>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</si>
  <si>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</si>
  <si>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</si>
  <si>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</si>
  <si>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</si>
  <si>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</si>
  <si>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</si>
  <si>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</si>
  <si>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</si>
  <si>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</si>
  <si>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</si>
  <si>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</si>
  <si>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</si>
  <si>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</si>
  <si>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</si>
  <si>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</si>
  <si>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</si>
  <si>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</si>
  <si>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</si>
  <si>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</si>
  <si>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</si>
  <si>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</si>
  <si>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</si>
  <si>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</si>
  <si>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</si>
  <si>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</si>
  <si>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</si>
  <si>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</si>
  <si>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</si>
  <si>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</si>
  <si>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</si>
  <si>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</si>
  <si>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</si>
  <si>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</si>
  <si>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</si>
  <si>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</si>
  <si>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</si>
  <si>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</si>
  <si>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</si>
  <si>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</si>
  <si>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</si>
  <si>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</si>
  <si>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</si>
  <si>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</si>
  <si>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</si>
  <si>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</si>
  <si>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</si>
  <si>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</si>
  <si>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</si>
  <si>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</si>
  <si>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</si>
  <si>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</si>
  <si>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</si>
  <si>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</si>
  <si>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</si>
  <si>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</si>
  <si>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</si>
  <si>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</si>
  <si>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</si>
  <si>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</si>
  <si>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</si>
  <si>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</si>
  <si>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</si>
  <si>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</si>
  <si>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</si>
  <si>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</si>
  <si>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</si>
  <si>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</si>
  <si>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</si>
  <si>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</si>
  <si>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</si>
  <si>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</si>
  <si>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</si>
  <si>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</si>
  <si>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</si>
  <si>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</si>
  <si>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</si>
  <si>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</si>
  <si>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</si>
  <si>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</si>
  <si>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</si>
  <si>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</si>
  <si>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</si>
  <si>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</si>
  <si>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</si>
  <si>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</si>
  <si>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</si>
  <si>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</si>
  <si>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</si>
  <si>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</si>
  <si>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</si>
  <si>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</si>
  <si>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</si>
  <si>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</si>
  <si>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</si>
  <si>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</si>
  <si>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</si>
  <si>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</si>
  <si>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</si>
  <si>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</si>
  <si>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</si>
  <si>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</si>
  <si>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</si>
  <si>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</si>
  <si>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</si>
  <si>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</si>
  <si>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</si>
  <si>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</si>
  <si>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</si>
  <si>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</si>
  <si>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</si>
  <si>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</si>
  <si>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</si>
  <si>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</si>
  <si>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</si>
  <si>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</si>
  <si>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</si>
  <si>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</si>
  <si>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</si>
  <si>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</si>
  <si>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</si>
  <si>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</si>
  <si>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</si>
  <si>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</si>
  <si>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</si>
  <si>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</si>
  <si>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</si>
  <si>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</si>
  <si>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</si>
  <si>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</si>
  <si>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</si>
  <si>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</si>
  <si>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</si>
  <si>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</si>
  <si>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</si>
  <si>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</si>
  <si>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</si>
  <si>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</si>
  <si>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</si>
  <si>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</si>
  <si>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</si>
  <si>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</si>
  <si>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</si>
  <si>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</si>
  <si>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</si>
  <si>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</si>
  <si>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</si>
  <si>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</si>
  <si>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</si>
  <si>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</si>
  <si>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</si>
  <si>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</si>
  <si>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</si>
  <si>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</si>
  <si>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</si>
  <si>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</si>
  <si>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</si>
  <si>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</si>
  <si>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</si>
  <si>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</si>
  <si>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</si>
  <si>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</si>
  <si>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</si>
  <si>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</si>
  <si>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</si>
  <si>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</si>
  <si>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</si>
  <si>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</si>
  <si>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</si>
  <si>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</si>
  <si>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</si>
  <si>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</si>
  <si>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</si>
  <si>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</si>
  <si>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</si>
  <si>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</si>
  <si>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</si>
  <si>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</si>
  <si>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</si>
  <si>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</si>
  <si>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</si>
  <si>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</si>
  <si>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</si>
  <si>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</si>
  <si>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</si>
  <si>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</si>
  <si>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</si>
  <si>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</si>
  <si>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</si>
  <si>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</si>
  <si>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</si>
  <si>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</si>
  <si>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</si>
  <si>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</si>
  <si>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</si>
  <si>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</si>
  <si>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</si>
  <si>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</si>
  <si>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</si>
  <si>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</si>
  <si>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</si>
  <si>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</si>
  <si>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</si>
  <si>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</si>
  <si>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</si>
  <si>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</si>
  <si>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</si>
  <si>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</si>
  <si>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</si>
  <si>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</si>
  <si>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</si>
  <si>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</si>
  <si>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</si>
  <si>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</si>
  <si>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</si>
  <si>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</si>
  <si>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</si>
  <si>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</si>
  <si>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</si>
  <si>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</si>
  <si>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</si>
  <si>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</si>
  <si>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</si>
  <si>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</si>
  <si>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</si>
  <si>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</si>
  <si>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</si>
  <si>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</si>
  <si>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</si>
  <si>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</si>
  <si>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</si>
  <si>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</si>
  <si>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</si>
  <si>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</si>
  <si>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</si>
  <si>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</si>
  <si>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</si>
  <si>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</si>
  <si>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</si>
  <si>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</si>
  <si>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</si>
  <si>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</si>
  <si>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</si>
  <si>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</si>
  <si>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</si>
  <si>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</si>
  <si>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</si>
  <si>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</si>
  <si>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</si>
  <si>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</si>
  <si>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</si>
  <si>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</si>
  <si>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</si>
  <si>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</si>
  <si>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</si>
  <si>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</si>
  <si>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</si>
  <si>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</si>
  <si>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</si>
  <si>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</si>
  <si>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</si>
  <si>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</si>
  <si>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</si>
  <si>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</si>
  <si>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</si>
  <si>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</si>
  <si>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</si>
  <si>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</si>
  <si>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</si>
  <si>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</si>
  <si>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</si>
  <si>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</si>
  <si>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</si>
  <si>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</si>
  <si>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</si>
  <si>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</si>
  <si>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</si>
  <si>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</si>
  <si>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</si>
  <si>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</si>
  <si>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</si>
  <si>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</si>
  <si>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</si>
  <si>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</si>
  <si>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</si>
  <si>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</si>
  <si>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</si>
  <si>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</si>
  <si>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</si>
  <si>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</si>
  <si>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</si>
  <si>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</si>
  <si>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</si>
  <si>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</si>
  <si>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</si>
  <si>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</si>
  <si>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</si>
  <si>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</si>
  <si>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</si>
  <si>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</si>
  <si>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</si>
  <si>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</si>
  <si>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</si>
  <si>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</si>
  <si>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</si>
  <si>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</si>
  <si>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</si>
  <si>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</si>
  <si>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</si>
  <si>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</si>
  <si>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</si>
  <si>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</si>
  <si>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</si>
  <si>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</si>
  <si>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</si>
  <si>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</si>
  <si>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</si>
  <si>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</si>
  <si>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</si>
  <si>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</si>
  <si>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</si>
  <si>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</si>
  <si>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</si>
  <si>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</si>
  <si>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</si>
  <si>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</si>
  <si>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</si>
  <si>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</si>
  <si>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</si>
  <si>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</si>
  <si>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</si>
  <si>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</si>
  <si>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</si>
  <si>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</si>
  <si>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</si>
  <si>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</si>
  <si>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</si>
  <si>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</si>
  <si>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</si>
  <si>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</si>
  <si>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</si>
  <si>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</si>
  <si>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</si>
  <si>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</si>
  <si>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</si>
  <si>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</si>
  <si>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</si>
  <si>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</si>
  <si>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</si>
  <si>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</si>
  <si>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</si>
  <si>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</si>
  <si>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</si>
  <si>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</si>
  <si>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</si>
  <si>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</si>
  <si>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</si>
  <si>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</si>
  <si>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</si>
  <si>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</si>
  <si>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</si>
  <si>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</si>
  <si>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</si>
  <si>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</si>
  <si>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</si>
  <si>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</si>
  <si>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</si>
  <si>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</si>
  <si>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</si>
  <si>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</si>
  <si>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</si>
  <si>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</si>
  <si>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</si>
  <si>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</si>
  <si>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</si>
  <si>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</si>
  <si>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</si>
  <si>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</si>
  <si>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</si>
  <si>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</si>
  <si>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</si>
  <si>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</si>
  <si>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</si>
  <si>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</si>
  <si>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</si>
  <si>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</si>
  <si>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</si>
  <si>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</si>
  <si>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</si>
  <si>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</si>
  <si>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</si>
  <si>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</si>
  <si>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</si>
  <si>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</si>
  <si>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</si>
  <si>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</si>
  <si>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</si>
  <si>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</si>
  <si>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</si>
  <si>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</si>
  <si>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</si>
  <si>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</si>
  <si>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</si>
  <si>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</si>
  <si>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</si>
  <si>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</si>
  <si>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</si>
  <si>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</si>
  <si>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</si>
  <si>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</si>
  <si>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</si>
  <si>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</si>
  <si>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</si>
  <si>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</si>
  <si>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</si>
  <si>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</si>
  <si>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</si>
  <si>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</si>
  <si>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</si>
  <si>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</si>
  <si>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</si>
  <si>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</si>
  <si>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</si>
  <si>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</si>
  <si>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</si>
  <si>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</si>
  <si>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</si>
  <si>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</si>
  <si>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</si>
  <si>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</si>
  <si>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</si>
  <si>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</si>
  <si>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</si>
  <si>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</si>
  <si>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</si>
  <si>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</si>
  <si>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</si>
  <si>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</si>
  <si>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</si>
  <si>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</si>
  <si>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</si>
  <si>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</si>
  <si>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</si>
  <si>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</si>
  <si>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</si>
  <si>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</si>
  <si>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</si>
  <si>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</si>
  <si>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</si>
  <si>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</si>
  <si>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</si>
  <si>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</si>
  <si>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</si>
  <si>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</si>
  <si>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</si>
  <si>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</si>
  <si>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</si>
  <si>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</si>
  <si>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</si>
  <si>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</si>
  <si>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</si>
  <si>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</si>
  <si>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</si>
  <si>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</si>
  <si>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</si>
  <si>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</si>
  <si>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</si>
  <si>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</si>
  <si>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</si>
  <si>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</si>
  <si>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</si>
  <si>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</si>
  <si>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</si>
  <si>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</si>
  <si>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</si>
  <si>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</si>
  <si>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</si>
  <si>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</si>
  <si>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</si>
  <si>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</si>
  <si>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</si>
  <si>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</si>
  <si>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</si>
  <si>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</si>
  <si>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</si>
  <si>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</si>
  <si>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</si>
  <si>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</si>
  <si>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</si>
  <si>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</si>
  <si>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</si>
  <si>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</si>
  <si>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</si>
  <si>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</si>
  <si>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</si>
  <si>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</si>
  <si>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</si>
  <si>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</si>
  <si>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</si>
  <si>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</si>
  <si>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</si>
  <si>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</si>
  <si>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</si>
  <si>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</si>
  <si>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</si>
  <si>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</si>
  <si>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</si>
  <si>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</si>
  <si>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</si>
  <si>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</si>
  <si>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</si>
  <si>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</si>
  <si>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</si>
  <si>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</si>
  <si>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</si>
  <si>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</si>
  <si>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</si>
  <si>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</si>
  <si>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</si>
  <si>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</si>
  <si>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</si>
  <si>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</si>
  <si>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</si>
  <si>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</si>
  <si>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</si>
  <si>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</si>
  <si>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</si>
  <si>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</si>
  <si>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</si>
  <si>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</si>
  <si>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</si>
  <si>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</si>
  <si>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</si>
  <si>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</si>
  <si>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</si>
  <si>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</si>
  <si>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</si>
  <si>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</si>
  <si>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</si>
  <si>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</si>
  <si>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</si>
  <si>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</si>
  <si>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</si>
  <si>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</si>
  <si>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</si>
  <si>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</si>
  <si>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</si>
  <si>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</si>
  <si>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</si>
  <si>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</si>
  <si>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</si>
  <si>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</si>
  <si>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</si>
  <si>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</si>
  <si>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</si>
  <si>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</si>
  <si>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</si>
  <si>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</si>
  <si>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</si>
  <si>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</si>
  <si>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</si>
  <si>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</si>
  <si>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</si>
  <si>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</si>
  <si>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</si>
  <si>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</si>
  <si>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</si>
  <si>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</si>
  <si>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</si>
  <si>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</si>
  <si>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</si>
  <si>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</si>
  <si>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</si>
  <si>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</si>
  <si>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</si>
  <si>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</si>
  <si>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</si>
  <si>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</si>
  <si>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</si>
  <si>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</si>
  <si>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</si>
  <si>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</si>
  <si>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</si>
  <si>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</si>
  <si>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</si>
  <si>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</si>
  <si>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</si>
  <si>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</si>
  <si>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</si>
  <si>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</si>
  <si>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</si>
  <si>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</si>
  <si>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</si>
  <si>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</si>
  <si>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</si>
  <si>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</si>
  <si>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</si>
  <si>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</si>
  <si>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</si>
  <si>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</si>
  <si>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</si>
  <si>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</si>
  <si>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</si>
  <si>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</si>
  <si>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</si>
  <si>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</si>
  <si>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</si>
  <si>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</si>
  <si>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</si>
  <si>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</si>
  <si>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</si>
  <si>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</si>
  <si>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</si>
  <si>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</si>
  <si>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</si>
  <si>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</si>
  <si>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</si>
  <si>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</si>
  <si>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</si>
  <si>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</si>
  <si>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</si>
  <si>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</si>
  <si>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</si>
  <si>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</si>
  <si>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</si>
  <si>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</si>
  <si>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</si>
  <si>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</si>
  <si>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</si>
  <si>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</si>
  <si>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</si>
  <si>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</si>
  <si>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</si>
  <si>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</si>
  <si>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</si>
  <si>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</si>
  <si>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</si>
  <si>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</si>
  <si>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</si>
  <si>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</si>
  <si>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</si>
  <si>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</si>
  <si>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</si>
  <si>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</si>
  <si>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</si>
  <si>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</si>
  <si>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</si>
  <si>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</si>
  <si>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</si>
  <si>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</si>
  <si>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</si>
  <si>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</si>
  <si>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</si>
  <si>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</si>
  <si>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</si>
  <si>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</si>
  <si>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</si>
  <si>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</si>
  <si>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</si>
  <si>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</si>
  <si>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</si>
  <si>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</si>
  <si>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</si>
  <si>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</si>
  <si>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</si>
  <si>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</si>
  <si>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</si>
  <si>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</si>
  <si>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</si>
  <si>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</si>
  <si>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</si>
  <si>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</si>
  <si>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</si>
  <si>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</si>
  <si>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</si>
  <si>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</si>
  <si>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</si>
  <si>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</si>
  <si>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</si>
  <si>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</si>
  <si>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</si>
  <si>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</si>
  <si>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</si>
  <si>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</si>
  <si>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</si>
  <si>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</si>
  <si>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</si>
  <si>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</si>
  <si>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</si>
  <si>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</si>
  <si>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</si>
  <si>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</si>
  <si>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</si>
  <si>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</si>
  <si>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</si>
  <si>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</si>
  <si>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</si>
  <si>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</si>
  <si>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</si>
  <si>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</si>
  <si>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</si>
  <si>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</si>
  <si>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</si>
  <si>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</si>
  <si>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</si>
  <si>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</si>
  <si>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</si>
  <si>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</si>
  <si>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</si>
  <si>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</si>
  <si>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</si>
  <si>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</si>
  <si>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</si>
  <si>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</si>
  <si>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</si>
  <si>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</si>
  <si>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</si>
  <si>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</si>
  <si>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</si>
  <si>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</si>
  <si>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</si>
  <si>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</si>
  <si>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</si>
  <si>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</si>
  <si>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</si>
  <si>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</si>
  <si>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</si>
  <si>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</si>
  <si>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</si>
  <si>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</si>
  <si>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</si>
  <si>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</si>
  <si>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</si>
  <si>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</si>
  <si>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</si>
  <si>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</si>
  <si>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</si>
  <si>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</si>
  <si>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</si>
  <si>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</si>
  <si>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</si>
  <si>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</si>
  <si>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</si>
  <si>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</si>
  <si>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</si>
  <si>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</si>
  <si>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</si>
  <si>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</si>
  <si>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</si>
  <si>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</si>
  <si>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</si>
  <si>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</si>
  <si>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</si>
  <si>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</si>
  <si>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</si>
  <si>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</si>
  <si>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</si>
  <si>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</si>
  <si>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</si>
  <si>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</si>
  <si>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</si>
  <si>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</si>
  <si>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</si>
  <si>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</si>
  <si>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</si>
  <si>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</si>
  <si>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</si>
  <si>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</si>
  <si>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</si>
  <si>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</si>
  <si>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</si>
  <si>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</si>
  <si>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</si>
  <si>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</si>
  <si>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</si>
  <si>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</si>
  <si>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</si>
  <si>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</si>
  <si>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</si>
  <si>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</si>
  <si>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</si>
  <si>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</si>
  <si>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</si>
  <si>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</si>
  <si>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</si>
  <si>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</si>
  <si>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</si>
  <si>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</si>
  <si>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</si>
  <si>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</si>
  <si>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</si>
  <si>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</si>
  <si>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</si>
  <si>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</si>
  <si>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</si>
  <si>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</si>
  <si>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</si>
  <si>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</si>
  <si>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</si>
  <si>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</si>
  <si>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</si>
  <si>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</si>
  <si>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</si>
  <si>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</si>
  <si>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</si>
  <si>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</si>
  <si>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</si>
  <si>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</si>
  <si>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</si>
  <si>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</si>
  <si>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</si>
  <si>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</si>
  <si>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</si>
  <si>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</si>
  <si>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</si>
  <si>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</si>
  <si>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</si>
  <si>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</si>
  <si>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</si>
  <si>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</si>
  <si>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</si>
  <si>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</si>
  <si>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</si>
  <si>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</si>
  <si>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</si>
  <si>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</si>
  <si>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</si>
  <si>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</si>
  <si>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</si>
  <si>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</si>
  <si>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</si>
  <si>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</si>
  <si>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</si>
  <si>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</si>
  <si>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</si>
  <si>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</si>
  <si>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</si>
  <si>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</si>
  <si>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</si>
  <si>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</si>
  <si>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</si>
  <si>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</si>
  <si>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</si>
  <si>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</si>
  <si>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</si>
  <si>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</si>
  <si>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</si>
  <si>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</si>
  <si>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</si>
  <si>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</si>
  <si>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</si>
  <si>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</si>
  <si>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</si>
  <si>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</si>
  <si>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</si>
  <si>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</si>
  <si>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</si>
  <si>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</si>
  <si>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</si>
  <si>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</si>
  <si>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</si>
  <si>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</si>
  <si>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</si>
  <si>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</si>
  <si>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</si>
  <si>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</si>
  <si>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</si>
  <si>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</si>
  <si>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</si>
  <si>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</si>
  <si>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</si>
  <si>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</si>
  <si>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</si>
  <si>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</si>
  <si>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</si>
  <si>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</si>
  <si>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</si>
  <si>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</si>
  <si>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</si>
  <si>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</si>
  <si>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</si>
  <si>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</si>
  <si>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</si>
  <si>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</si>
  <si>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</si>
  <si>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</si>
  <si>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</si>
  <si>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</si>
  <si>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</si>
  <si>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</si>
  <si>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</si>
  <si>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</si>
  <si>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</si>
  <si>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</si>
  <si>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</si>
  <si>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</si>
  <si>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</si>
  <si>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</si>
  <si>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</si>
  <si>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</si>
  <si>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</si>
  <si>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</si>
  <si>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</si>
  <si>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</si>
  <si>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</si>
  <si>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</si>
  <si>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</si>
  <si>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</si>
  <si>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</si>
  <si>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</si>
  <si>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</si>
  <si>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</si>
  <si>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</si>
  <si>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</si>
  <si>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</si>
  <si>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</si>
  <si>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</si>
  <si>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</si>
  <si>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</si>
  <si>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</si>
  <si>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</si>
  <si>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</si>
  <si>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</si>
  <si>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</si>
  <si>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</si>
  <si>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</si>
  <si>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</si>
  <si>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</si>
  <si>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</si>
  <si>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</si>
  <si>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</si>
  <si>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</si>
  <si>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</si>
  <si>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</si>
  <si>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</si>
  <si>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</si>
  <si>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</si>
  <si>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</si>
  <si>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</si>
  <si>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</si>
  <si>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</si>
  <si>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</si>
  <si>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</si>
  <si>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</si>
  <si>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</si>
  <si>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</si>
  <si>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</si>
  <si>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</si>
  <si>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</si>
  <si>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</si>
  <si>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</si>
  <si>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</si>
  <si>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</si>
  <si>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</si>
  <si>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</si>
  <si>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</si>
  <si>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</si>
  <si>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</si>
  <si>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</si>
  <si>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</si>
  <si>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</si>
  <si>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</si>
  <si>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</si>
  <si>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</si>
  <si>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</si>
  <si>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</si>
  <si>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</si>
  <si>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</si>
  <si>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</si>
  <si>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</si>
  <si>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</si>
  <si>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</si>
  <si>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</si>
  <si>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</si>
  <si>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</si>
  <si>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</si>
  <si>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</si>
  <si>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</si>
  <si>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</si>
  <si>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</si>
  <si>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</si>
  <si>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</si>
  <si>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</si>
  <si>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</si>
  <si>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</si>
  <si>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</si>
  <si>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</si>
  <si>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</si>
  <si>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</si>
  <si>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</si>
  <si>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</si>
  <si>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</si>
  <si>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</si>
  <si>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</si>
  <si>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</si>
  <si>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</si>
  <si>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</si>
  <si>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</si>
  <si>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</si>
  <si>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</si>
  <si>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</si>
  <si>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</si>
  <si>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</si>
  <si>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</si>
  <si>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</si>
  <si>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</si>
  <si>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</si>
  <si>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</si>
  <si>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</si>
  <si>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</si>
  <si>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</si>
  <si>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</si>
  <si>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</si>
  <si>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</si>
  <si>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</si>
  <si>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</si>
  <si>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</si>
  <si>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</si>
  <si>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</si>
  <si>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</si>
  <si>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</si>
  <si>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</si>
  <si>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</si>
  <si>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</si>
  <si>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</si>
  <si>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</si>
  <si>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</si>
  <si>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</si>
  <si>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</si>
  <si>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</si>
  <si>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</si>
  <si>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</si>
  <si>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</si>
  <si>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</si>
  <si>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</si>
  <si>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</si>
  <si>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</si>
  <si>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</si>
  <si>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</si>
  <si>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</si>
  <si>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</si>
  <si>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</si>
  <si>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</si>
  <si>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</si>
  <si>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</si>
  <si>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</si>
  <si>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</si>
  <si>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</si>
  <si>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</si>
  <si>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</si>
  <si>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</si>
  <si>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</si>
  <si>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</si>
  <si>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</si>
  <si>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</si>
  <si>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</si>
  <si>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</si>
  <si>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</si>
  <si>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</si>
  <si>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</si>
  <si>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</si>
  <si>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</si>
  <si>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</si>
  <si>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</si>
  <si>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</si>
  <si>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</si>
  <si>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</si>
  <si>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</si>
  <si>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</si>
  <si>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</si>
  <si>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</si>
  <si>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</si>
  <si>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</si>
  <si>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</si>
  <si>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</si>
  <si>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</si>
  <si>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</si>
  <si>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</si>
  <si>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</si>
  <si>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</si>
  <si>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</si>
  <si>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</si>
  <si>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</si>
  <si>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</si>
  <si>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</si>
  <si>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</si>
  <si>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</si>
  <si>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</si>
  <si>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</si>
  <si>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</si>
  <si>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</si>
  <si>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</si>
  <si>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</si>
  <si>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</si>
  <si>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</si>
  <si>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</si>
  <si>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</si>
  <si>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</si>
  <si>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</si>
  <si>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</si>
  <si>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</si>
  <si>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</si>
  <si>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</si>
  <si>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</si>
  <si>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</si>
  <si>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</si>
  <si>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</si>
  <si>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</si>
  <si>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</si>
  <si>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</si>
  <si>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</si>
  <si>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</si>
  <si>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</si>
  <si>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</si>
  <si>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</si>
  <si>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</si>
  <si>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</si>
  <si>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</si>
  <si>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</si>
  <si>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</si>
  <si>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</si>
  <si>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</si>
  <si>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</si>
  <si>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</si>
  <si>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</si>
  <si>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</si>
  <si>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</si>
  <si>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</si>
  <si>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</si>
  <si>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</si>
  <si>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</si>
  <si>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</si>
  <si>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</si>
  <si>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</si>
  <si>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</si>
  <si>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</si>
  <si>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</si>
  <si>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</si>
  <si>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</si>
  <si>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</si>
  <si>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</si>
  <si>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</si>
  <si>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</si>
  <si>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</si>
  <si>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</si>
  <si>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</si>
  <si>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</si>
  <si>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</si>
  <si>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</si>
  <si>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</si>
  <si>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</si>
  <si>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</si>
  <si>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</si>
  <si>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</si>
  <si>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</si>
  <si>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</si>
  <si>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</si>
  <si>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</si>
  <si>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</si>
  <si>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</si>
  <si>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</si>
  <si>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</si>
  <si>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</si>
  <si>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</si>
  <si>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</si>
  <si>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</si>
  <si>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</si>
  <si>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</si>
  <si>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</si>
  <si>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</si>
  <si>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</si>
  <si>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</si>
  <si>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</si>
  <si>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</si>
  <si>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</si>
  <si>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</si>
  <si>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</si>
  <si>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</si>
  <si>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</si>
  <si>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</si>
  <si>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</si>
  <si>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</si>
  <si>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</si>
  <si>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</si>
  <si>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</si>
  <si>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</si>
  <si>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</si>
  <si>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</si>
  <si>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</si>
  <si>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</si>
  <si>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</si>
  <si>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</si>
  <si>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</si>
  <si>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</si>
  <si>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</si>
  <si>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</si>
  <si>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</si>
  <si>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</si>
  <si>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</si>
  <si>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</si>
  <si>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</si>
  <si>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</si>
  <si>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</si>
  <si>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</si>
  <si>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</si>
  <si>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</si>
  <si>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</si>
  <si>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</si>
  <si>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</si>
  <si>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</si>
  <si>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</si>
  <si>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</si>
  <si>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</si>
  <si>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</si>
  <si>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</si>
  <si>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</si>
  <si>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</si>
  <si>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</si>
  <si>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</si>
  <si>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</si>
  <si>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</si>
  <si>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</si>
  <si>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</si>
  <si>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</si>
  <si>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</si>
  <si>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</si>
  <si>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</si>
  <si>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</si>
  <si>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</si>
  <si>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</si>
  <si>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</si>
  <si>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</si>
  <si>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</si>
  <si>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</si>
  <si>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</si>
  <si>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</si>
  <si>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</si>
  <si>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</si>
  <si>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</si>
  <si>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</si>
  <si>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</si>
  <si>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</si>
  <si>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</si>
  <si>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</si>
  <si>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</si>
  <si>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</si>
  <si>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</si>
  <si>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</si>
  <si>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</si>
  <si>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</si>
  <si>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</si>
  <si>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</si>
  <si>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</si>
  <si>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</si>
  <si>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</si>
  <si>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</si>
  <si>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</si>
  <si>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</si>
  <si>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</si>
  <si>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</si>
  <si>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</si>
  <si>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</si>
  <si>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</si>
  <si>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</si>
  <si>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</si>
  <si>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</si>
  <si>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</si>
  <si>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</si>
  <si>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</si>
  <si>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</si>
  <si>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</si>
  <si>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</si>
  <si>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</si>
  <si>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</si>
  <si>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</si>
  <si>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</si>
  <si>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</si>
  <si>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</si>
  <si>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</si>
  <si>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</si>
  <si>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</si>
  <si>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</si>
  <si>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</si>
  <si>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</si>
  <si>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</si>
  <si>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</si>
  <si>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</si>
  <si>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</si>
  <si>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</si>
  <si>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</si>
  <si>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</si>
  <si>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</si>
  <si>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</si>
  <si>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</si>
  <si>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</si>
  <si>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</si>
  <si>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</si>
  <si>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</si>
  <si>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</si>
  <si>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</si>
  <si>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</si>
  <si>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</si>
  <si>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</si>
  <si>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</si>
  <si>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</si>
  <si>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</si>
  <si>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</si>
  <si>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</si>
  <si>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</si>
  <si>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</si>
  <si>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</si>
  <si>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</si>
  <si>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</si>
  <si>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</si>
  <si>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</si>
  <si>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</si>
  <si>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</si>
  <si>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</si>
  <si>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</si>
  <si>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</si>
  <si>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</si>
  <si>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</si>
  <si>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</si>
  <si>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</si>
  <si>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</si>
  <si>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</si>
  <si>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</si>
  <si>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</si>
  <si>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</si>
  <si>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</si>
  <si>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</si>
  <si>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</si>
  <si>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</si>
  <si>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</si>
  <si>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</si>
  <si>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</si>
  <si>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</si>
  <si>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</si>
  <si>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</si>
  <si>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</si>
  <si>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</si>
  <si>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</si>
  <si>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</si>
  <si>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</si>
  <si>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</si>
  <si>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</si>
  <si>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</si>
  <si>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</si>
  <si>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</si>
  <si>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</si>
  <si>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</si>
  <si>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</si>
  <si>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</si>
  <si>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</si>
  <si>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</si>
  <si>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</si>
  <si>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</si>
  <si>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</si>
  <si>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</si>
  <si>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</si>
  <si>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</si>
  <si>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</si>
  <si>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</si>
  <si>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</si>
  <si>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</si>
  <si>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</si>
  <si>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</si>
  <si>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</si>
  <si>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</si>
  <si>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</si>
  <si>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</si>
  <si>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</si>
  <si>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</si>
  <si>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</si>
  <si>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</si>
  <si>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</si>
  <si>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</si>
  <si>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</si>
  <si>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</si>
  <si>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</si>
  <si>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</si>
  <si>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</si>
  <si>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</si>
  <si>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</si>
  <si>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</si>
  <si>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</si>
  <si>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</si>
  <si>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</si>
  <si>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</si>
  <si>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</si>
  <si>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</si>
  <si>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</si>
  <si>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</si>
  <si>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</si>
  <si>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</si>
  <si>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</si>
  <si>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</si>
  <si>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</si>
  <si>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</si>
  <si>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</si>
  <si>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</si>
  <si>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</si>
  <si>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</si>
  <si>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</si>
  <si>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</si>
  <si>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</si>
  <si>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</si>
  <si>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</si>
  <si>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</si>
  <si>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</si>
  <si>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</si>
  <si>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</si>
  <si>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</si>
  <si>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</si>
  <si>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</si>
  <si>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</si>
  <si>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</si>
  <si>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</si>
  <si>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</si>
  <si>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</si>
  <si>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</si>
  <si>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</si>
  <si>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</si>
  <si>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</si>
  <si>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</si>
  <si>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</si>
  <si>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</si>
  <si>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</si>
  <si>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</si>
  <si>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</si>
  <si>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</si>
  <si>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</si>
  <si>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</si>
  <si>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</si>
  <si>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</si>
  <si>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</si>
  <si>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</si>
  <si>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</si>
  <si>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</si>
  <si>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</si>
  <si>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</si>
  <si>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</si>
  <si>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</si>
  <si>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</si>
  <si>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</si>
  <si>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</si>
  <si>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</si>
  <si>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</si>
  <si>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</si>
  <si>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</si>
  <si>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</si>
  <si>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</si>
  <si>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</si>
  <si>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</si>
  <si>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</si>
  <si>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</si>
  <si>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</si>
  <si>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</si>
  <si>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</si>
  <si>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</si>
  <si>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</si>
  <si>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</si>
  <si>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</si>
  <si>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</si>
  <si>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</si>
  <si>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</si>
  <si>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</si>
  <si>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</si>
  <si>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</si>
  <si>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</si>
  <si>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</si>
  <si>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</si>
  <si>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</si>
  <si>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</si>
  <si>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</si>
  <si>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</si>
  <si>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</si>
  <si>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</si>
  <si>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</si>
  <si>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</si>
  <si>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</si>
  <si>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</si>
  <si>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</si>
  <si>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</si>
  <si>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</si>
  <si>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</si>
  <si>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</si>
  <si>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</si>
  <si>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</si>
  <si>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</si>
  <si>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</si>
  <si>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</si>
  <si>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</si>
  <si>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</si>
  <si>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</si>
  <si>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</si>
  <si>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</si>
  <si>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</si>
  <si>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</si>
  <si>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</si>
  <si>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</si>
  <si>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</si>
  <si>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</si>
  <si>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</si>
  <si>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</si>
  <si>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</si>
  <si>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</si>
  <si>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</si>
  <si>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</si>
  <si>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</si>
  <si>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</si>
  <si>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</si>
  <si>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</si>
  <si>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</si>
  <si>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</si>
  <si>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</si>
  <si>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</si>
  <si>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</si>
  <si>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</si>
  <si>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</si>
  <si>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</si>
  <si>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</si>
  <si>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</si>
  <si>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</si>
  <si>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</si>
  <si>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</si>
  <si>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</si>
  <si>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</si>
  <si>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</si>
  <si>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</si>
  <si>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</si>
  <si>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</si>
  <si>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</si>
  <si>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</si>
  <si>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</si>
  <si>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</si>
  <si>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</si>
  <si>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</si>
  <si>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</si>
  <si>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</si>
  <si>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</si>
  <si>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</si>
  <si>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</si>
  <si>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</si>
  <si>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</si>
  <si>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</si>
  <si>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</si>
  <si>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</si>
  <si>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</si>
  <si>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</si>
  <si>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</si>
  <si>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</si>
  <si>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</si>
  <si>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</si>
  <si>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</si>
  <si>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</si>
  <si>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</si>
  <si>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</si>
  <si>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</si>
  <si>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</si>
  <si>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</si>
  <si>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</si>
  <si>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</si>
  <si>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</si>
  <si>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</si>
  <si>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</si>
  <si>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</si>
  <si>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</si>
  <si>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</si>
  <si>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</si>
  <si>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</si>
  <si>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</si>
  <si>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</si>
  <si>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</si>
  <si>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</si>
  <si>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</si>
  <si>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</si>
  <si>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</si>
  <si>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</si>
  <si>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</si>
  <si>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</si>
  <si>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</si>
  <si>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</si>
  <si>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</si>
  <si>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</si>
  <si>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</si>
  <si>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</si>
  <si>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</si>
  <si>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</si>
  <si>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</si>
  <si>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</si>
  <si>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</si>
  <si>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</si>
  <si>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</si>
  <si>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</si>
  <si>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</si>
  <si>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</si>
  <si>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</si>
  <si>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</si>
  <si>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</si>
  <si>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</si>
  <si>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</si>
  <si>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</si>
  <si>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</si>
  <si>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</si>
  <si>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</si>
  <si>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</si>
  <si>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</si>
  <si>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</si>
  <si>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</si>
  <si>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</si>
  <si>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</si>
  <si>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</si>
  <si>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</si>
  <si>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</si>
  <si>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</si>
  <si>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</si>
  <si>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</si>
  <si>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</si>
  <si>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</si>
  <si>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</si>
  <si>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</si>
  <si>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</si>
  <si>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</si>
  <si>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</si>
  <si>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</si>
  <si>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</si>
  <si>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</si>
  <si>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</si>
  <si>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</si>
  <si>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</si>
  <si>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</si>
  <si>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</si>
  <si>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</si>
  <si>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</si>
  <si>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</si>
  <si>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</si>
  <si>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</si>
  <si>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</si>
  <si>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</si>
  <si>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</si>
  <si>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</si>
  <si>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</si>
  <si>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</si>
  <si>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</si>
  <si>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</si>
  <si>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</si>
  <si>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</si>
  <si>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</si>
  <si>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</si>
  <si>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</si>
  <si>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</si>
  <si>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</si>
  <si>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</si>
  <si>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</si>
  <si>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</si>
  <si>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</si>
  <si>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</si>
  <si>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</si>
  <si>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</si>
  <si>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</si>
  <si>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</si>
  <si>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</si>
  <si>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</si>
  <si>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</si>
  <si>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</si>
  <si>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</si>
  <si>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</si>
  <si>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</si>
  <si>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</si>
  <si>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</si>
  <si>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</si>
  <si>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</si>
  <si>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</si>
  <si>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</si>
  <si>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</si>
  <si>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</si>
  <si>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</si>
  <si>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</si>
  <si>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</si>
  <si>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</si>
  <si>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</si>
  <si>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</si>
  <si>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</si>
  <si>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</si>
  <si>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</si>
  <si>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</si>
  <si>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</si>
  <si>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</si>
  <si>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</si>
  <si>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</si>
  <si>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</si>
  <si>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</si>
  <si>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</si>
  <si>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</si>
  <si>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</si>
  <si>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</si>
  <si>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</si>
  <si>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</si>
  <si>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</si>
  <si>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</si>
  <si>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</si>
  <si>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</si>
  <si>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</si>
  <si>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</si>
  <si>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</si>
  <si>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</si>
  <si>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</si>
  <si>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</si>
  <si>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</si>
  <si>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</si>
  <si>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</si>
  <si>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</si>
  <si>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</si>
  <si>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</si>
  <si>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</si>
  <si>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</si>
  <si>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</si>
  <si>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</si>
  <si>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</si>
  <si>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</si>
  <si>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</si>
  <si>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</si>
  <si>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</si>
  <si>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</si>
  <si>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</si>
  <si>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</si>
  <si>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</si>
  <si>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</si>
  <si>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</si>
  <si>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</si>
  <si>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</si>
  <si>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</si>
  <si>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</si>
  <si>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</si>
  <si>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</si>
  <si>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</si>
  <si>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</si>
  <si>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</si>
  <si>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</si>
  <si>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</si>
  <si>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</si>
  <si>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</si>
  <si>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</si>
  <si>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</si>
  <si>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</si>
  <si>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</si>
  <si>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</si>
  <si>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</si>
  <si>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</si>
  <si>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</si>
  <si>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</si>
  <si>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</si>
  <si>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</si>
  <si>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</si>
  <si>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</si>
  <si>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</si>
  <si>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</si>
  <si>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</si>
  <si>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</si>
  <si>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</si>
  <si>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</si>
  <si>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</si>
  <si>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</si>
  <si>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</si>
  <si>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</si>
  <si>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</si>
  <si>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</si>
  <si>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</si>
  <si>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</si>
  <si>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</si>
  <si>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</si>
  <si>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</si>
  <si>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</si>
  <si>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</si>
  <si>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</si>
  <si>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</si>
  <si>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</si>
  <si>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</si>
  <si>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</si>
  <si>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</si>
  <si>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</si>
  <si>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</si>
  <si>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</si>
  <si>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</si>
  <si>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</si>
  <si>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</si>
  <si>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</si>
  <si>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</si>
  <si>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</si>
  <si>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</si>
  <si>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</si>
  <si>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</si>
  <si>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</si>
  <si>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</si>
  <si>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</si>
  <si>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</si>
  <si>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</si>
  <si>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</si>
  <si>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</si>
  <si>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</si>
  <si>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</si>
  <si>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</si>
  <si>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</si>
  <si>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</si>
  <si>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</si>
  <si>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</si>
  <si>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</si>
  <si>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</si>
  <si>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</si>
  <si>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</si>
  <si>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</si>
  <si>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</si>
  <si>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</si>
  <si>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</si>
  <si>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</si>
  <si>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</si>
  <si>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</si>
  <si>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</si>
  <si>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</si>
  <si>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</si>
  <si>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</si>
  <si>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</si>
  <si>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</si>
  <si>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</si>
  <si>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</si>
  <si>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</si>
  <si>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</si>
  <si>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</si>
  <si>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</si>
  <si>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</si>
  <si>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</si>
  <si>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</si>
  <si>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</si>
  <si>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</si>
  <si>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</si>
  <si>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</si>
  <si>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</si>
  <si>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</si>
  <si>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</si>
  <si>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</si>
  <si>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</si>
  <si>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</si>
  <si>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</si>
  <si>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</si>
  <si>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</si>
  <si>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</si>
  <si>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</si>
  <si>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</si>
  <si>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</si>
  <si>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</si>
  <si>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</si>
  <si>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</si>
  <si>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</si>
  <si>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</si>
  <si>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</si>
  <si>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</si>
  <si>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</si>
  <si>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</si>
  <si>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</si>
  <si>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</si>
  <si>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</si>
  <si>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</si>
  <si>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</si>
  <si>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</si>
  <si>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</si>
  <si>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</si>
  <si>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</si>
  <si>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</si>
  <si>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</si>
  <si>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</si>
  <si>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</si>
  <si>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</si>
  <si>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</si>
  <si>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</si>
  <si>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</si>
  <si>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</si>
  <si>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</si>
  <si>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</si>
  <si>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</si>
  <si>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</si>
  <si>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</si>
  <si>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</si>
  <si>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</si>
  <si>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</si>
  <si>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</si>
  <si>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</si>
  <si>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</si>
  <si>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</si>
  <si>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</si>
  <si>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</si>
  <si>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</si>
  <si>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</si>
  <si>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</si>
  <si>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</si>
  <si>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</si>
  <si>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</si>
  <si>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</si>
  <si>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</si>
  <si>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</si>
  <si>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</si>
  <si>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</si>
  <si>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</si>
  <si>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</si>
  <si>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</si>
  <si>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</si>
  <si>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</si>
  <si>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</si>
  <si>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</si>
  <si>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</si>
  <si>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</si>
  <si>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</si>
  <si>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</si>
  <si>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</si>
  <si>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</si>
  <si>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</si>
  <si>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</si>
  <si>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</si>
  <si>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</si>
  <si>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</si>
  <si>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</si>
  <si>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</si>
  <si>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</si>
  <si>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</si>
  <si>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</si>
  <si>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</si>
  <si>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</si>
  <si>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</si>
  <si>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</si>
  <si>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</si>
  <si>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</si>
  <si>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</si>
  <si>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</si>
  <si>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</si>
  <si>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</si>
  <si>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</si>
  <si>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</si>
  <si>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</si>
  <si>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</si>
  <si>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</si>
  <si>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</si>
  <si>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</si>
  <si>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</si>
  <si>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</si>
  <si>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</si>
  <si>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</si>
  <si>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</si>
  <si>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</si>
  <si>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</si>
  <si>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</si>
  <si>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</si>
  <si>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</si>
  <si>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</si>
  <si>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</si>
  <si>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</si>
  <si>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</si>
  <si>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</si>
  <si>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</si>
  <si>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</si>
  <si>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</si>
  <si>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</si>
  <si>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</si>
  <si>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</si>
  <si>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</si>
  <si>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</si>
  <si>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</si>
  <si>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</si>
  <si>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</si>
  <si>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</si>
  <si>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</si>
  <si>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</si>
  <si>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</si>
  <si>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</si>
  <si>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</si>
  <si>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</si>
  <si>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</si>
  <si>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</si>
  <si>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</si>
  <si>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</si>
  <si>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</si>
  <si>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</si>
  <si>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</si>
  <si>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</si>
  <si>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</si>
  <si>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</si>
  <si>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</si>
  <si>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</si>
  <si>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</si>
  <si>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</si>
  <si>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</si>
  <si>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</si>
  <si>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</si>
  <si>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</si>
  <si>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</si>
  <si>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</si>
  <si>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</si>
  <si>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</si>
  <si>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</si>
  <si>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</si>
  <si>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</si>
  <si>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</si>
  <si>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</si>
  <si>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</si>
  <si>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</si>
  <si>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</si>
  <si>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</si>
  <si>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</si>
  <si>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</si>
  <si>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</si>
  <si>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</si>
  <si>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</si>
  <si>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</si>
  <si>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</si>
  <si>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</si>
  <si>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</si>
  <si>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</si>
  <si>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</si>
  <si>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</si>
  <si>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</si>
  <si>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</si>
  <si>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</si>
  <si>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</si>
  <si>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</si>
  <si>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</si>
  <si>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</si>
  <si>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</si>
  <si>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</si>
  <si>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</si>
  <si>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</si>
  <si>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</si>
  <si>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</si>
  <si>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</si>
  <si>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</si>
  <si>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</si>
  <si>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</si>
  <si>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</si>
  <si>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</si>
  <si>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</si>
  <si>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</si>
  <si>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</si>
  <si>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</si>
  <si>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</si>
  <si>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</si>
  <si>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</si>
  <si>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</si>
  <si>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</si>
  <si>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</si>
  <si>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</si>
  <si>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</si>
  <si>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</si>
  <si>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</si>
  <si>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</si>
  <si>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</si>
  <si>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</si>
  <si>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</si>
  <si>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</si>
  <si>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</si>
  <si>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</si>
  <si>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</si>
  <si>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</si>
  <si>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</si>
  <si>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</si>
  <si>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</si>
  <si>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</si>
  <si>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</si>
  <si>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</si>
  <si>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</si>
  <si>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</si>
  <si>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</si>
  <si>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</si>
  <si>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</si>
  <si>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</si>
  <si>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</si>
  <si>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</si>
  <si>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</si>
  <si>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</si>
  <si>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</si>
  <si>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</si>
  <si>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</si>
  <si>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</si>
  <si>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</si>
  <si>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</si>
  <si>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</si>
  <si>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</si>
  <si>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</si>
  <si>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</si>
  <si>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</si>
  <si>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</si>
  <si>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</si>
  <si>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</si>
  <si>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</si>
  <si>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</si>
  <si>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</si>
  <si>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</si>
  <si>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</si>
  <si>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</si>
  <si>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</si>
  <si>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</si>
  <si>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</si>
  <si>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</si>
  <si>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</si>
  <si>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</si>
  <si>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</si>
  <si>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</si>
  <si>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</si>
  <si>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</si>
  <si>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</si>
  <si>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</si>
  <si>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</si>
  <si>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</si>
  <si>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</si>
  <si>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</si>
  <si>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</si>
  <si>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</si>
  <si>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</si>
  <si>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</si>
  <si>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</si>
  <si>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</si>
  <si>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</si>
  <si>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</si>
  <si>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</si>
  <si>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</si>
  <si>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</si>
  <si>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</si>
  <si>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</si>
  <si>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</si>
  <si>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</si>
  <si>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</si>
  <si>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</si>
  <si>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</si>
  <si>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</si>
  <si>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</si>
  <si>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</si>
  <si>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</si>
  <si>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</si>
  <si>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</si>
  <si>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</si>
  <si>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</si>
  <si>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</si>
  <si>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</si>
  <si>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</si>
  <si>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</si>
  <si>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</si>
  <si>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</si>
  <si>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</si>
  <si>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</si>
  <si>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</si>
  <si>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</si>
  <si>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</si>
  <si>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</si>
  <si>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</si>
  <si>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</si>
  <si>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</si>
  <si>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</si>
  <si>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</si>
  <si>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</si>
  <si>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</si>
  <si>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</si>
  <si>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</si>
  <si>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</si>
  <si>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</si>
  <si>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</si>
  <si>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</si>
  <si>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</si>
  <si>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</si>
  <si>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</si>
  <si>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</si>
  <si>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</si>
  <si>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</si>
  <si>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</si>
  <si>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</si>
  <si>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</si>
  <si>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</si>
  <si>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</si>
  <si>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</si>
  <si>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</si>
  <si>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</si>
  <si>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</si>
  <si>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</si>
  <si>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</si>
  <si>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</si>
  <si>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</si>
  <si>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</si>
  <si>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</si>
  <si>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</si>
  <si>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</si>
  <si>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</si>
  <si>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</si>
  <si>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</si>
  <si>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</si>
  <si>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</si>
  <si>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</si>
  <si>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</si>
  <si>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</si>
  <si>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</si>
  <si>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</si>
  <si>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</si>
  <si>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</si>
  <si>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</si>
  <si>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</si>
  <si>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</si>
  <si>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</si>
  <si>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</si>
  <si>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</si>
  <si>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</si>
  <si>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</si>
  <si>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</si>
  <si>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</si>
  <si>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</si>
  <si>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</si>
  <si>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</si>
  <si>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</si>
  <si>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</si>
  <si>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</si>
  <si>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</si>
  <si>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</si>
  <si>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</si>
  <si>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</si>
  <si>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</si>
  <si>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</si>
  <si>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</si>
  <si>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</si>
  <si>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</si>
  <si>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</si>
  <si>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</si>
  <si>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</si>
  <si>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</si>
  <si>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</si>
  <si>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</si>
  <si>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</si>
  <si>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</si>
  <si>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</si>
  <si>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</si>
  <si>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</si>
  <si>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</si>
  <si>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</si>
  <si>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</si>
  <si>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</si>
  <si>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</si>
  <si>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</si>
  <si>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</si>
  <si>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</si>
  <si>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</si>
  <si>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</si>
  <si>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</si>
  <si>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</si>
  <si>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</si>
  <si>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</si>
  <si>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</si>
  <si>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</si>
  <si>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</si>
  <si>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</si>
  <si>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</si>
  <si>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</si>
  <si>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</si>
  <si>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</si>
  <si>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</si>
  <si>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</si>
  <si>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</si>
  <si>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</si>
  <si>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</si>
  <si>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</si>
  <si>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</si>
  <si>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</si>
  <si>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</si>
  <si>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</si>
  <si>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</si>
  <si>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</si>
  <si>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</si>
  <si>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</si>
  <si>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</si>
  <si>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</si>
  <si>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</si>
  <si>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</si>
  <si>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</si>
  <si>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</si>
  <si>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</si>
  <si>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</si>
  <si>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</si>
  <si>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</si>
  <si>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</si>
  <si>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</si>
  <si>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</si>
  <si>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</si>
  <si>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</si>
  <si>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</si>
  <si>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</si>
  <si>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</si>
  <si>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</si>
  <si>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</si>
  <si>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</si>
  <si>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</si>
  <si>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</si>
  <si>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</si>
  <si>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</si>
  <si>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</si>
  <si>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</si>
  <si>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</si>
  <si>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</si>
  <si>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</si>
  <si>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</si>
  <si>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</si>
  <si>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</si>
  <si>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</si>
  <si>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</si>
  <si>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</si>
  <si>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</si>
  <si>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</si>
  <si>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</si>
  <si>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</si>
  <si>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</si>
  <si>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</si>
  <si>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</si>
  <si>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</si>
  <si>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</si>
  <si>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</si>
  <si>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</si>
  <si>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</si>
  <si>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</si>
  <si>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</si>
  <si>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</si>
  <si>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</si>
  <si>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</si>
  <si>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</si>
  <si>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</si>
  <si>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</si>
  <si>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</si>
  <si>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</si>
  <si>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</si>
  <si>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</si>
  <si>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</si>
  <si>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</si>
  <si>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</si>
  <si>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</si>
  <si>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</si>
  <si>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</si>
  <si>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</si>
  <si>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</si>
  <si>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</si>
  <si>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</si>
  <si>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</si>
  <si>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</si>
  <si>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</si>
  <si>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</si>
  <si>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</si>
  <si>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</si>
  <si>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</si>
  <si>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</si>
  <si>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</si>
  <si>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</si>
  <si>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</si>
  <si>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</si>
  <si>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</si>
  <si>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</si>
  <si>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</si>
  <si>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</si>
  <si>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</si>
  <si>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</si>
  <si>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</si>
  <si>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</si>
  <si>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</si>
  <si>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</si>
  <si>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</si>
  <si>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</si>
  <si>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</si>
  <si>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</si>
  <si>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</si>
  <si>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</si>
  <si>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</si>
  <si>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</si>
  <si>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</si>
  <si>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</si>
  <si>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</si>
  <si>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</si>
  <si>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</si>
  <si>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</si>
  <si>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</si>
  <si>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</si>
  <si>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</si>
  <si>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</si>
  <si>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</si>
  <si>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</si>
  <si>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</si>
  <si>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</si>
  <si>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</si>
  <si>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</si>
  <si>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</si>
  <si>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</si>
  <si>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</si>
  <si>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</si>
  <si>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</si>
  <si>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</si>
  <si>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</si>
  <si>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</si>
  <si>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</si>
  <si>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</si>
  <si>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</si>
  <si>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</si>
  <si>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</si>
  <si>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</si>
  <si>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</si>
  <si>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</si>
  <si>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</si>
  <si>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</si>
  <si>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</si>
  <si>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</si>
  <si>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</si>
  <si>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</si>
  <si>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</si>
  <si>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</si>
  <si>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</si>
  <si>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</si>
  <si>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</si>
  <si>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</si>
  <si>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</si>
  <si>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</si>
  <si>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</si>
  <si>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</si>
  <si>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</si>
  <si>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</si>
  <si>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</si>
  <si>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</si>
  <si>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</si>
  <si>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</si>
  <si>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</si>
  <si>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</si>
  <si>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</si>
  <si>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</si>
  <si>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</si>
  <si>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</si>
  <si>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</si>
  <si>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</si>
  <si>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</si>
  <si>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</si>
  <si>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</si>
  <si>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</si>
  <si>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</si>
  <si>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</si>
  <si>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</si>
  <si>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</si>
  <si>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</si>
  <si>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</si>
  <si>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</si>
  <si>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</si>
  <si>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</si>
  <si>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</si>
  <si>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</si>
  <si>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</si>
  <si>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</si>
  <si>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</si>
  <si>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</si>
  <si>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</si>
  <si>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</si>
  <si>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</si>
  <si>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</si>
  <si>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</si>
  <si>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</si>
  <si>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</si>
  <si>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</si>
  <si>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</si>
  <si>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</si>
  <si>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</si>
  <si>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</si>
  <si>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</si>
  <si>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</si>
  <si>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</si>
  <si>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</si>
  <si>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</si>
  <si>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</si>
  <si>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</si>
  <si>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</si>
  <si>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</si>
  <si>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</si>
  <si>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</si>
  <si>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</si>
  <si>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</si>
  <si>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</si>
  <si>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</si>
  <si>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</si>
  <si>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</si>
  <si>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</si>
  <si>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</si>
  <si>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</si>
  <si>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</si>
  <si>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</si>
  <si>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</si>
  <si>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</si>
  <si>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</si>
  <si>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</si>
  <si>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</si>
  <si>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</si>
  <si>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</si>
  <si>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</si>
  <si>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</si>
  <si>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</si>
  <si>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</si>
  <si>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</si>
  <si>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</si>
  <si>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</si>
  <si>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</si>
  <si>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</si>
  <si>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</si>
  <si>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</si>
  <si>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</si>
  <si>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</si>
  <si>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</si>
  <si>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</si>
  <si>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</si>
  <si>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</si>
  <si>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</si>
  <si>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</si>
  <si>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</si>
  <si>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</si>
  <si>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</si>
  <si>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</si>
  <si>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</si>
  <si>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</si>
  <si>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</si>
  <si>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</si>
  <si>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</si>
  <si>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</si>
  <si>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</si>
  <si>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</si>
  <si>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</si>
  <si>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</si>
  <si>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</si>
  <si>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</si>
  <si>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</si>
  <si>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</si>
  <si>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</si>
  <si>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</si>
  <si>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</si>
  <si>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</si>
  <si>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</si>
  <si>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</si>
  <si>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</si>
  <si>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</si>
  <si>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</si>
  <si>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</si>
  <si>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</si>
  <si>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</si>
  <si>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</si>
  <si>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</si>
  <si>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</si>
  <si>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</si>
  <si>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</si>
  <si>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</si>
  <si>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</si>
  <si>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</si>
  <si>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</si>
  <si>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</si>
  <si>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</si>
  <si>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</si>
  <si>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</si>
  <si>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</si>
  <si>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</si>
  <si>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</si>
  <si>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</si>
  <si>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</si>
  <si>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</si>
  <si>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</si>
  <si>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</si>
  <si>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</si>
  <si>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</si>
  <si>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</si>
  <si>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</si>
  <si>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</si>
  <si>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</si>
  <si>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</si>
  <si>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</si>
  <si>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</si>
  <si>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</si>
  <si>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</si>
  <si>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</si>
  <si>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</si>
  <si>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</si>
  <si>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</si>
  <si>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</si>
  <si>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</si>
  <si>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</si>
  <si>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</si>
  <si>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</si>
  <si>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</si>
  <si>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</si>
  <si>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</si>
  <si>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</si>
  <si>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</si>
  <si>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</si>
  <si>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</si>
  <si>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</si>
  <si>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</si>
  <si>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</si>
  <si>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</si>
  <si>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</si>
  <si>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</si>
  <si>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</si>
  <si>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</si>
  <si>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</si>
  <si>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</si>
  <si>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</si>
  <si>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</si>
  <si>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</si>
  <si>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</si>
  <si>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</si>
  <si>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</si>
  <si>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</si>
  <si>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</si>
  <si>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</si>
  <si>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</si>
  <si>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</si>
  <si>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</si>
  <si>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</si>
  <si>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</si>
  <si>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</si>
  <si>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</si>
  <si>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</si>
  <si>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</si>
  <si>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</si>
  <si>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</si>
  <si>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</si>
  <si>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</si>
  <si>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</si>
  <si>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</si>
  <si>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</si>
  <si>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</si>
  <si>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</si>
  <si>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</si>
  <si>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</si>
  <si>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</si>
  <si>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</si>
  <si>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</si>
  <si>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</si>
  <si>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</si>
  <si>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</si>
  <si>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</si>
  <si>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</si>
  <si>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</si>
  <si>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</si>
  <si>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</si>
  <si>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</si>
  <si>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</si>
  <si>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</si>
  <si>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</si>
  <si>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</si>
  <si>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</si>
  <si>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</si>
  <si>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</si>
  <si>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</si>
  <si>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</si>
  <si>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</si>
  <si>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</si>
  <si>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</si>
  <si>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</si>
  <si>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</si>
  <si>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</si>
  <si>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</si>
  <si>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</si>
  <si>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</si>
  <si>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</si>
  <si>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</si>
  <si>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</si>
  <si>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</si>
  <si>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</si>
  <si>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</si>
  <si>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</si>
  <si>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</si>
  <si>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</si>
  <si>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</si>
  <si>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</si>
  <si>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</si>
  <si>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</si>
  <si>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</si>
  <si>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</si>
  <si>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</si>
  <si>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</si>
  <si>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</si>
  <si>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</si>
  <si>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</si>
  <si>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</si>
  <si>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</si>
  <si>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</si>
  <si>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</si>
  <si>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</si>
  <si>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</si>
  <si>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</si>
  <si>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</si>
  <si>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</si>
  <si>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</si>
  <si>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</si>
  <si>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</si>
  <si>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</si>
  <si>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</si>
  <si>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</si>
  <si>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</si>
  <si>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</si>
  <si>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</si>
  <si>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</si>
  <si>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</si>
  <si>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</si>
  <si>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</si>
  <si>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</si>
  <si>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</si>
  <si>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</si>
  <si>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</si>
  <si>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</si>
  <si>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</si>
  <si>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</si>
  <si>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</si>
  <si>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</si>
  <si>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</si>
  <si>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</si>
  <si>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</si>
  <si>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</si>
  <si>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</si>
  <si>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</si>
  <si>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</si>
  <si>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</si>
  <si>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</si>
  <si>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</si>
  <si>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</si>
  <si>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</si>
  <si>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</si>
  <si>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</si>
  <si>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</si>
  <si>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</si>
  <si>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</si>
  <si>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</si>
  <si>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</si>
  <si>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</si>
  <si>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</si>
  <si>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</si>
  <si>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</si>
  <si>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</si>
  <si>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</si>
  <si>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</si>
  <si>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</si>
  <si>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</si>
  <si>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</si>
  <si>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</si>
  <si>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</si>
  <si>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</si>
  <si>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</si>
  <si>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</si>
  <si>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</si>
  <si>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</si>
  <si>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</si>
  <si>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</si>
  <si>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</si>
  <si>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</si>
  <si>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</si>
  <si>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</si>
  <si>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</si>
  <si>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</si>
  <si>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</si>
  <si>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</si>
  <si>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</si>
  <si>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</si>
  <si>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</si>
  <si>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</si>
  <si>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</si>
  <si>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</si>
  <si>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</si>
  <si>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</si>
  <si>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</si>
  <si>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</si>
  <si>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</si>
  <si>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</si>
  <si>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</si>
  <si>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</si>
  <si>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</si>
  <si>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</si>
  <si>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</si>
  <si>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</si>
  <si>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</si>
  <si>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</si>
  <si>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</si>
  <si>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</si>
  <si>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</si>
  <si>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</si>
  <si>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</si>
  <si>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</si>
  <si>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</si>
  <si>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</si>
  <si>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</si>
  <si>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</si>
  <si>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</si>
  <si>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</si>
  <si>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</si>
  <si>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</si>
  <si>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</si>
  <si>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</si>
  <si>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</si>
  <si>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</si>
  <si>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</si>
  <si>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</si>
  <si>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</si>
  <si>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</si>
  <si>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</si>
  <si>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</si>
  <si>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</si>
  <si>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</si>
  <si>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</si>
  <si>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</si>
  <si>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</si>
  <si>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</si>
  <si>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</si>
  <si>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</si>
  <si>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</si>
  <si>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</si>
  <si>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</si>
  <si>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</si>
  <si>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</si>
  <si>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</si>
  <si>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</si>
  <si>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</si>
  <si>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</si>
  <si>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</si>
  <si>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</si>
  <si>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</si>
  <si>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</si>
  <si>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</si>
  <si>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</si>
  <si>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</si>
  <si>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</si>
  <si>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</si>
  <si>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</si>
  <si>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</si>
  <si>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</si>
  <si>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</si>
  <si>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</si>
  <si>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</si>
  <si>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</si>
  <si>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</si>
  <si>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</si>
  <si>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</si>
  <si>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</si>
  <si>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</si>
  <si>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</si>
  <si>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</si>
  <si>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</si>
  <si>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</si>
  <si>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</si>
  <si>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</si>
  <si>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</si>
  <si>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</si>
  <si>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</si>
  <si>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</si>
  <si>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</si>
  <si>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</si>
  <si>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</si>
  <si>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</si>
  <si>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</si>
  <si>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</si>
  <si>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</si>
  <si>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</si>
  <si>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</si>
  <si>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</si>
  <si>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</si>
  <si>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</si>
  <si>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</si>
  <si>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</si>
  <si>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</si>
  <si>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</si>
  <si>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</si>
  <si>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</si>
  <si>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</si>
  <si>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</si>
  <si>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</si>
  <si>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</si>
  <si>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</si>
  <si>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</si>
  <si>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</si>
  <si>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</si>
  <si>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</si>
  <si>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</si>
  <si>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</si>
  <si>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</si>
  <si>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</si>
  <si>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</si>
  <si>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</si>
  <si>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</si>
  <si>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</si>
  <si>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</si>
  <si>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</si>
  <si>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</si>
  <si>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</si>
  <si>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</si>
  <si>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</si>
  <si>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</si>
  <si>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</si>
  <si>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</si>
  <si>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</si>
  <si>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</si>
  <si>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</si>
  <si>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</si>
  <si>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</si>
  <si>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</si>
  <si>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</si>
  <si>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</si>
  <si>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</si>
  <si>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</si>
  <si>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</si>
  <si>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</si>
  <si>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</si>
  <si>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</si>
  <si>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</si>
  <si>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</si>
  <si>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</si>
  <si>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</si>
  <si>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</si>
  <si>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</si>
  <si>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</si>
  <si>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</si>
  <si>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</si>
  <si>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</si>
  <si>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</si>
  <si>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</si>
  <si>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</si>
  <si>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</si>
  <si>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</si>
  <si>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</si>
  <si>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</si>
  <si>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</si>
  <si>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</si>
  <si>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</si>
  <si>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</si>
  <si>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</si>
  <si>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</si>
  <si>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</si>
  <si>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</si>
  <si>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</si>
  <si>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</si>
  <si>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</si>
  <si>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</si>
  <si>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</si>
  <si>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</si>
  <si>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</si>
  <si>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</si>
  <si>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</si>
  <si>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</si>
  <si>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</si>
  <si>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</si>
  <si>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</si>
  <si>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</si>
  <si>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</si>
  <si>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</si>
  <si>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</si>
  <si>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</si>
  <si>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</si>
  <si>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</si>
  <si>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</si>
  <si>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</si>
  <si>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</si>
  <si>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</si>
  <si>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</si>
  <si>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</si>
  <si>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</si>
  <si>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</si>
  <si>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</si>
  <si>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</si>
  <si>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</si>
  <si>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</si>
  <si>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</si>
  <si>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</si>
  <si>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</si>
  <si>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</si>
  <si>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</si>
  <si>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</si>
  <si>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</si>
  <si>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</si>
  <si>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</si>
  <si>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</si>
  <si>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</si>
  <si>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</si>
  <si>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</si>
  <si>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</si>
  <si>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</si>
  <si>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</si>
  <si>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</si>
  <si>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</si>
  <si>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</si>
  <si>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</si>
  <si>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</si>
  <si>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</si>
  <si>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</si>
  <si>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</si>
  <si>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</si>
  <si>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</si>
  <si>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</si>
  <si>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</si>
  <si>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</si>
  <si>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</si>
  <si>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</si>
  <si>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</si>
  <si>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</si>
  <si>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</si>
  <si>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</si>
  <si>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</si>
  <si>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</si>
  <si>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</si>
  <si>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</si>
  <si>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</si>
  <si>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</si>
  <si>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</si>
  <si>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</si>
  <si>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</si>
  <si>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</si>
  <si>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</si>
  <si>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</si>
  <si>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</si>
  <si>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</si>
  <si>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</si>
  <si>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</si>
  <si>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</si>
  <si>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</si>
  <si>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</si>
  <si>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</si>
  <si>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</si>
  <si>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</si>
  <si>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</si>
  <si>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</si>
  <si>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</si>
  <si>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</si>
  <si>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</si>
  <si>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</si>
  <si>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</si>
  <si>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</si>
  <si>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</si>
  <si>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</si>
  <si>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</si>
  <si>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</si>
  <si>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</si>
  <si>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</si>
  <si>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</si>
  <si>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</si>
  <si>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</si>
  <si>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</si>
  <si>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</si>
  <si>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</si>
  <si>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</si>
  <si>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</si>
  <si>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</si>
  <si>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</si>
  <si>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</si>
  <si>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</si>
  <si>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</si>
  <si>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</si>
  <si>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</si>
  <si>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</si>
  <si>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</si>
  <si>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</si>
  <si>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</si>
  <si>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</si>
  <si>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</si>
  <si>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</si>
  <si>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</si>
  <si>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</si>
  <si>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</si>
  <si>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</si>
  <si>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</si>
  <si>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</si>
  <si>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</si>
  <si>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</si>
  <si>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</si>
  <si>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</si>
  <si>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</si>
  <si>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</si>
  <si>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</si>
  <si>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</si>
  <si>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</si>
  <si>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</si>
  <si>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</si>
  <si>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</si>
  <si>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</si>
  <si>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</si>
  <si>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</si>
  <si>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</si>
  <si>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</si>
  <si>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</si>
  <si>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</si>
  <si>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</si>
  <si>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</si>
  <si>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</si>
  <si>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</si>
  <si>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</si>
  <si>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</si>
  <si>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</si>
  <si>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</si>
  <si>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</si>
  <si>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</si>
  <si>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</si>
  <si>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</si>
  <si>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</si>
  <si>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</si>
  <si>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</si>
  <si>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</si>
  <si>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</si>
  <si>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</si>
  <si>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</si>
  <si>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</si>
  <si>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</si>
  <si>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</si>
  <si>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</si>
  <si>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</si>
  <si>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</si>
  <si>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</si>
  <si>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</si>
  <si>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</si>
  <si>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</si>
  <si>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</si>
  <si>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</si>
  <si>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</si>
  <si>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</si>
  <si>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</si>
  <si>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</si>
  <si>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</si>
  <si>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</si>
  <si>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</si>
  <si>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</si>
  <si>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</si>
  <si>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</si>
  <si>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</si>
  <si>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</si>
  <si>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</si>
  <si>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</si>
  <si>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</si>
  <si>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</si>
  <si>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</si>
  <si>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</si>
  <si>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</si>
  <si>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</si>
  <si>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</si>
  <si>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</si>
  <si>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</si>
  <si>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</si>
  <si>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</si>
  <si>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</si>
  <si>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</si>
  <si>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</si>
  <si>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</si>
  <si>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</si>
  <si>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</si>
  <si>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</si>
  <si>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</si>
  <si>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</si>
  <si>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</si>
  <si>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</si>
  <si>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</si>
  <si>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</si>
  <si>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</si>
  <si>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</si>
  <si>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</si>
  <si>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</si>
  <si>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</si>
  <si>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</si>
  <si>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</si>
  <si>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</si>
  <si>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</si>
  <si>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</si>
  <si>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</si>
  <si>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</si>
  <si>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</si>
  <si>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</si>
  <si>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</si>
  <si>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</si>
  <si>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</si>
  <si>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</si>
  <si>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</si>
  <si>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</si>
  <si>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</si>
  <si>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</si>
  <si>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</si>
  <si>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</si>
  <si>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</si>
  <si>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</si>
  <si>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</si>
  <si>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</si>
  <si>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</si>
  <si>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</si>
  <si>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</si>
  <si>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</si>
  <si>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</si>
  <si>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</si>
  <si>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</si>
  <si>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</si>
  <si>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</si>
  <si>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</si>
  <si>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</si>
  <si>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</si>
  <si>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</si>
  <si>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</si>
  <si>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</si>
  <si>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</si>
  <si>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</si>
  <si>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</si>
  <si>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</si>
  <si>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</si>
  <si>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</si>
  <si>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</si>
  <si>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</si>
  <si>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</si>
  <si>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</si>
  <si>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</si>
  <si>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</si>
  <si>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</si>
  <si>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</si>
  <si>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</si>
  <si>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</si>
  <si>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</si>
  <si>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</si>
  <si>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</si>
  <si>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</si>
  <si>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</si>
  <si>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</si>
  <si>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</si>
  <si>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</si>
  <si>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</si>
  <si>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</si>
  <si>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</si>
  <si>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</si>
  <si>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</si>
  <si>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</si>
  <si>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</si>
  <si>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</si>
  <si>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</si>
  <si>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</si>
  <si>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</si>
  <si>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</si>
  <si>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</si>
  <si>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</si>
  <si>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</si>
  <si>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</si>
  <si>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</si>
  <si>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</si>
  <si>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</si>
  <si>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</si>
  <si>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</si>
  <si>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</si>
  <si>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</si>
  <si>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</si>
  <si>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</si>
  <si>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</si>
  <si>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</si>
  <si>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</si>
  <si>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</si>
  <si>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</si>
  <si>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</si>
  <si>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</si>
  <si>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</si>
  <si>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</si>
  <si>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</si>
  <si>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</si>
  <si>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</si>
  <si>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</si>
  <si>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</si>
  <si>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</si>
  <si>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</si>
  <si>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</si>
  <si>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</si>
  <si>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</si>
  <si>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</si>
  <si>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</si>
  <si>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</si>
  <si>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</si>
  <si>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</si>
  <si>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</si>
  <si>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</si>
  <si>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</si>
  <si>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</si>
  <si>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</si>
  <si>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</si>
  <si>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</si>
  <si>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</si>
  <si>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</si>
  <si>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</si>
  <si>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</si>
  <si>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</si>
  <si>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</si>
  <si>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</si>
  <si>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</si>
  <si>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</si>
  <si>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</si>
  <si>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</si>
  <si>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</si>
  <si>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</si>
  <si>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</si>
  <si>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</si>
  <si>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</si>
  <si>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</si>
  <si>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</si>
  <si>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</si>
  <si>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</si>
  <si>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</si>
  <si>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</si>
  <si>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</si>
  <si>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</si>
  <si>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</si>
  <si>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</si>
  <si>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</si>
  <si>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</si>
  <si>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</si>
  <si>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</si>
  <si>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</si>
  <si>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</si>
  <si>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</si>
  <si>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</si>
  <si>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</si>
  <si>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</si>
  <si>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</si>
  <si>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</si>
  <si>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</si>
  <si>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</si>
  <si>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</si>
  <si>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</si>
  <si>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</si>
  <si>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</si>
  <si>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</si>
  <si>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</si>
  <si>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</si>
  <si>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</si>
  <si>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</si>
  <si>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</si>
  <si>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</si>
  <si>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</si>
  <si>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</si>
  <si>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</si>
  <si>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</si>
  <si>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</si>
  <si>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</si>
  <si>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</si>
  <si>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</si>
  <si>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</si>
  <si>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</si>
  <si>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</si>
  <si>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</si>
  <si>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</si>
  <si>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</si>
  <si>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</si>
  <si>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</si>
  <si>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</si>
  <si>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</si>
  <si>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</si>
  <si>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</si>
  <si>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</si>
  <si>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</si>
  <si>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</si>
  <si>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</si>
  <si>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</si>
  <si>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</si>
  <si>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</si>
  <si>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</si>
  <si>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</si>
  <si>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</si>
  <si>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</si>
  <si>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</si>
  <si>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</si>
  <si>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</si>
  <si>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</si>
  <si>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</si>
  <si>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</si>
  <si>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</si>
  <si>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</si>
  <si>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</si>
  <si>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</si>
  <si>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</si>
  <si>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</si>
  <si>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</si>
  <si>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</si>
  <si>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</si>
  <si>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</si>
  <si>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</si>
  <si>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</si>
  <si>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</si>
  <si>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</si>
  <si>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</si>
  <si>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</si>
  <si>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</si>
  <si>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</si>
  <si>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</si>
  <si>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</si>
  <si>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</si>
  <si>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</si>
  <si>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</si>
  <si>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</si>
  <si>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</si>
  <si>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</si>
  <si>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</si>
  <si>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</si>
  <si>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</si>
  <si>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</si>
  <si>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</si>
  <si>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</si>
  <si>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</si>
  <si>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</si>
  <si>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</si>
  <si>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</si>
  <si>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</si>
  <si>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</si>
  <si>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</si>
  <si>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</si>
  <si>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</si>
  <si>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</si>
  <si>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</si>
  <si>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</si>
  <si>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</si>
  <si>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</si>
  <si>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</si>
  <si>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</si>
  <si>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</si>
  <si>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</si>
  <si>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</si>
  <si>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</si>
  <si>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</si>
  <si>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</si>
  <si>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</si>
  <si>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</si>
  <si>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</si>
  <si>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</si>
  <si>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</si>
  <si>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</si>
  <si>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</si>
  <si>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</si>
  <si>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</si>
  <si>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</si>
  <si>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</si>
  <si>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</si>
  <si>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</si>
  <si>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</si>
  <si>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</si>
  <si>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</si>
  <si>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</si>
  <si>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</si>
  <si>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</si>
  <si>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</si>
  <si>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</si>
  <si>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</si>
  <si>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</si>
  <si>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</si>
  <si>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</si>
  <si>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</si>
  <si>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</si>
  <si>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</si>
  <si>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</si>
  <si>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</si>
  <si>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</si>
  <si>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</si>
  <si>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</si>
  <si>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</si>
  <si>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</si>
  <si>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</si>
  <si>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</si>
  <si>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</si>
  <si>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</si>
  <si>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</si>
  <si>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</si>
  <si>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</si>
  <si>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</si>
  <si>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</si>
  <si>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</si>
  <si>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</si>
  <si>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</si>
  <si>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</si>
  <si>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</si>
  <si>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</si>
  <si>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</si>
  <si>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</si>
  <si>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</si>
  <si>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</si>
  <si>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</si>
  <si>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</si>
  <si>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</si>
  <si>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</si>
  <si>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</si>
  <si>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</si>
  <si>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</si>
  <si>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</si>
  <si>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</si>
  <si>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</si>
  <si>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</si>
  <si>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</si>
  <si>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</si>
  <si>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</si>
  <si>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</si>
  <si>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</si>
  <si>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</si>
  <si>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</si>
  <si>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</si>
  <si>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</si>
  <si>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</si>
  <si>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</si>
  <si>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</si>
  <si>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</si>
  <si>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</si>
  <si>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</si>
  <si>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</si>
  <si>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</si>
  <si>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</si>
  <si>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</si>
  <si>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</si>
  <si>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</si>
  <si>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</si>
  <si>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</si>
  <si>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</si>
  <si>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</si>
  <si>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</si>
  <si>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</si>
  <si>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</si>
  <si>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</si>
  <si>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</si>
  <si>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</si>
  <si>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</si>
  <si>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</si>
  <si>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</si>
  <si>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</si>
  <si>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</si>
  <si>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</si>
  <si>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</si>
  <si>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</si>
  <si>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</si>
  <si>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</si>
  <si>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</si>
  <si>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</si>
  <si>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</si>
  <si>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</si>
  <si>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</si>
  <si>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</si>
  <si>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</si>
  <si>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</si>
  <si>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</si>
  <si>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</si>
  <si>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</si>
  <si>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</si>
  <si>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</si>
  <si>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</si>
  <si>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</si>
  <si>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</si>
  <si>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</si>
  <si>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</si>
  <si>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</si>
  <si>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</si>
  <si>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</si>
  <si>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</si>
  <si>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</si>
  <si>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</si>
  <si>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</si>
  <si>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</si>
  <si>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</si>
  <si>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</si>
  <si>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</si>
  <si>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</si>
  <si>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</si>
  <si>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</si>
  <si>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</si>
  <si>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</si>
  <si>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</si>
  <si>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</si>
  <si>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</si>
  <si>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</si>
  <si>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</si>
  <si>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</si>
  <si>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</si>
  <si>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</si>
  <si>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</si>
  <si>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</si>
  <si>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</si>
  <si>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</si>
  <si>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</si>
  <si>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</si>
  <si>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</si>
  <si>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</si>
  <si>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</si>
  <si>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</si>
  <si>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</si>
  <si>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</si>
  <si>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</si>
  <si>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</si>
  <si>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</si>
  <si>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</si>
  <si>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</si>
  <si>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</si>
  <si>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</si>
  <si>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</si>
  <si>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</si>
  <si>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</si>
  <si>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</si>
  <si>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</si>
  <si>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</si>
  <si>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</si>
  <si>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</si>
  <si>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</si>
  <si>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</si>
  <si>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</si>
  <si>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</si>
  <si>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</si>
  <si>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</si>
  <si>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</si>
  <si>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</si>
  <si>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</si>
  <si>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</si>
  <si>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</si>
  <si>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</si>
  <si>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</si>
  <si>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</si>
  <si>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</si>
  <si>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</si>
  <si>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</si>
  <si>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</si>
  <si>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</si>
  <si>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</si>
  <si>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</si>
  <si>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</si>
  <si>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</si>
  <si>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</si>
  <si>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</si>
  <si>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</si>
  <si>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</si>
  <si>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</si>
  <si>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</si>
  <si>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</si>
  <si>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</si>
  <si>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</si>
  <si>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</si>
  <si>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</si>
  <si>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</si>
  <si>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</si>
  <si>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</si>
  <si>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</si>
  <si>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</si>
  <si>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</si>
  <si>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</si>
  <si>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</si>
  <si>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</si>
  <si>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</si>
  <si>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</si>
  <si>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</si>
  <si>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</si>
  <si>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</si>
  <si>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</si>
  <si>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</si>
  <si>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</si>
  <si>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</si>
  <si>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</si>
  <si>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</si>
  <si>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</si>
  <si>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</si>
  <si>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</si>
  <si>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</si>
  <si>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</si>
  <si>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</si>
  <si>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</si>
  <si>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</si>
  <si>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</si>
  <si>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</si>
  <si>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</si>
  <si>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</si>
  <si>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</si>
  <si>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</si>
  <si>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</si>
  <si>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</si>
  <si>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</si>
  <si>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</si>
  <si>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</si>
  <si>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</si>
  <si>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</si>
  <si>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</si>
  <si>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</si>
  <si>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</si>
  <si>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</si>
  <si>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</si>
  <si>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</si>
  <si>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</si>
  <si>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</si>
  <si>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</si>
  <si>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</si>
  <si>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</si>
  <si>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</si>
  <si>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</si>
  <si>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</si>
  <si>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</si>
  <si>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</si>
  <si>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</si>
  <si>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</si>
  <si>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</si>
  <si>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</si>
  <si>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</si>
  <si>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</si>
  <si>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</si>
  <si>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</si>
  <si>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</si>
  <si>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</si>
  <si>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</si>
  <si>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</si>
  <si>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</si>
  <si>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</si>
  <si>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</si>
  <si>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</si>
  <si>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</si>
  <si>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</si>
  <si>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</si>
  <si>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</si>
  <si>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</si>
  <si>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</si>
  <si>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</si>
  <si>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</si>
  <si>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</si>
  <si>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</si>
  <si>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</si>
  <si>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</si>
  <si>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</si>
  <si>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</si>
  <si>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</si>
  <si>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</si>
  <si>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</si>
  <si>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</si>
  <si>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</si>
  <si>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</si>
  <si>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</si>
  <si>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</si>
  <si>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</si>
  <si>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</si>
  <si>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</si>
  <si>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</si>
  <si>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</si>
  <si>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</si>
  <si>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</si>
  <si>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</si>
  <si>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</si>
  <si>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</si>
  <si>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</si>
  <si>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</si>
  <si>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</si>
  <si>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</si>
  <si>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</si>
  <si>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</si>
  <si>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</si>
  <si>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</si>
  <si>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</si>
  <si>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</si>
  <si>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</si>
  <si>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</si>
  <si>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</si>
  <si>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</si>
  <si>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</si>
  <si>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</si>
  <si>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</si>
  <si>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</si>
  <si>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</si>
  <si>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</si>
  <si>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</si>
  <si>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</si>
  <si>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</si>
  <si>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</si>
  <si>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</si>
  <si>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</si>
  <si>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</si>
  <si>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</si>
  <si>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</si>
  <si>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</si>
  <si>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</si>
  <si>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</si>
  <si>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</si>
  <si>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</si>
  <si>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</si>
  <si>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</si>
  <si>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</si>
  <si>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</si>
  <si>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</si>
  <si>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</si>
  <si>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</si>
  <si>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</si>
  <si>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</si>
  <si>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</si>
  <si>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</si>
  <si>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</si>
  <si>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</si>
  <si>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</si>
  <si>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</si>
  <si>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</si>
  <si>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</si>
  <si>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</si>
  <si>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</si>
  <si>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</si>
  <si>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</si>
  <si>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</si>
  <si>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</si>
  <si>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</si>
  <si>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</si>
  <si>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</si>
  <si>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</si>
  <si>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</si>
  <si>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</si>
  <si>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</si>
  <si>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</si>
  <si>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</si>
  <si>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</si>
  <si>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</si>
  <si>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</si>
  <si>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</si>
  <si>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</si>
  <si>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</si>
  <si>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</si>
  <si>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</si>
  <si>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</si>
  <si>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</si>
  <si>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</si>
  <si>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</si>
  <si>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</si>
  <si>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</si>
  <si>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</si>
  <si>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</si>
  <si>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</si>
  <si>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</si>
  <si>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</si>
  <si>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</si>
  <si>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</si>
  <si>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</si>
  <si>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</si>
  <si>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</si>
  <si>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</si>
  <si>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</si>
  <si>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</si>
  <si>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</si>
  <si>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</si>
  <si>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</si>
  <si>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</si>
  <si>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</si>
  <si>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</si>
  <si>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</si>
  <si>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</si>
  <si>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</si>
  <si>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</si>
  <si>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</si>
  <si>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</si>
  <si>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</si>
  <si>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</si>
  <si>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</si>
  <si>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</si>
  <si>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</si>
  <si>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</si>
  <si>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</si>
  <si>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</si>
  <si>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</si>
  <si>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</si>
  <si>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</si>
  <si>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</si>
  <si>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</si>
  <si>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</si>
  <si>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</si>
  <si>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</si>
  <si>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</si>
  <si>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</si>
  <si>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</si>
  <si>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</si>
  <si>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</si>
  <si>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</si>
  <si>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</si>
  <si>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</si>
  <si>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</si>
  <si>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</si>
  <si>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</si>
  <si>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</si>
  <si>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</si>
  <si>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</si>
  <si>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</si>
  <si>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</si>
  <si>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</si>
  <si>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</si>
  <si>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</si>
  <si>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</si>
  <si>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</si>
  <si>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</si>
  <si>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</si>
  <si>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</si>
  <si>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</si>
  <si>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</si>
  <si>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</si>
  <si>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</si>
  <si>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</si>
  <si>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</si>
  <si>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</si>
  <si>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</si>
  <si>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</si>
  <si>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</si>
  <si>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</si>
  <si>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</si>
  <si>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</si>
  <si>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</si>
  <si>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</si>
  <si>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</si>
  <si>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</si>
  <si>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</si>
  <si>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</si>
  <si>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</si>
  <si>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</si>
  <si>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</si>
  <si>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</si>
  <si>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</si>
  <si>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</si>
  <si>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</si>
  <si>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</si>
  <si>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</si>
  <si>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</si>
  <si>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</si>
  <si>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</si>
  <si>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</si>
  <si>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</si>
  <si>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</si>
  <si>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</si>
  <si>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</si>
  <si>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</si>
  <si>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</si>
  <si>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</si>
  <si>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</si>
  <si>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</si>
  <si>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</si>
  <si>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</si>
  <si>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</si>
  <si>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</si>
  <si>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</si>
  <si>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</si>
  <si>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</si>
  <si>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</si>
  <si>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</si>
  <si>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</si>
  <si>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</si>
  <si>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</si>
  <si>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</si>
  <si>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</si>
  <si>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</si>
  <si>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</si>
  <si>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</si>
  <si>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</si>
  <si>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</si>
  <si>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</si>
  <si>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</si>
  <si>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</si>
  <si>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</si>
  <si>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</si>
  <si>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</si>
  <si>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</si>
  <si>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</si>
  <si>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</si>
  <si>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</si>
  <si>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</si>
  <si>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</si>
  <si>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</si>
  <si>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</si>
  <si>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</si>
  <si>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</si>
  <si>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</si>
  <si>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</si>
  <si>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</si>
  <si>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</si>
  <si>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</si>
  <si>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</si>
  <si>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</si>
  <si>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</si>
  <si>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</si>
  <si>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</si>
  <si>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</si>
  <si>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</si>
  <si>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</si>
  <si>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</si>
  <si>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</si>
  <si>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</si>
  <si>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</si>
  <si>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</si>
  <si>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</si>
  <si>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</si>
  <si>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</si>
  <si>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</si>
  <si>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</si>
  <si>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</si>
  <si>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</si>
  <si>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</si>
  <si>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</si>
  <si>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</si>
  <si>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</si>
  <si>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</si>
  <si>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</si>
  <si>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</si>
  <si>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</si>
  <si>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</si>
  <si>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</si>
  <si>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</si>
  <si>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</si>
  <si>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</si>
  <si>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</si>
  <si>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</si>
  <si>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</si>
  <si>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</si>
  <si>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</si>
  <si>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</si>
  <si>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</si>
  <si>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</si>
  <si>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</si>
  <si>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</si>
  <si>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</si>
  <si>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</si>
  <si>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</si>
  <si>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</si>
  <si>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</si>
  <si>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</si>
  <si>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</si>
  <si>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</si>
  <si>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</si>
  <si>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</si>
  <si>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</si>
  <si>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</si>
  <si>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</si>
  <si>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</si>
  <si>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</si>
  <si>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</si>
  <si>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</si>
  <si>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</si>
  <si>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</si>
  <si>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</si>
  <si>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</si>
  <si>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</si>
  <si>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</si>
  <si>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</si>
  <si>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</si>
  <si>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</si>
  <si>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</si>
  <si>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</si>
  <si>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</si>
  <si>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</si>
  <si>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</si>
  <si>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</si>
  <si>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</si>
  <si>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</si>
  <si>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</si>
  <si>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</si>
  <si>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</si>
  <si>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</si>
  <si>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</si>
  <si>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</si>
  <si>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</si>
  <si>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</si>
  <si>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</si>
  <si>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</si>
  <si>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</si>
  <si>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</si>
  <si>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</si>
  <si>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</si>
  <si>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</si>
  <si>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</si>
  <si>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</si>
  <si>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</si>
  <si>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</si>
  <si>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</si>
  <si>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</si>
  <si>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</si>
  <si>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</si>
  <si>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</si>
  <si>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</si>
  <si>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</si>
  <si>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</si>
  <si>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</si>
  <si>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</si>
  <si>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</si>
  <si>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</si>
  <si>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</si>
  <si>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</si>
  <si>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</si>
  <si>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</si>
  <si>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</si>
  <si>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</si>
  <si>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</si>
  <si>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</si>
  <si>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</si>
  <si>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</si>
  <si>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</si>
  <si>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</si>
  <si>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</si>
  <si>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</si>
  <si>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</si>
  <si>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</si>
  <si>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</si>
  <si>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</si>
  <si>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</si>
  <si>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</si>
  <si>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</si>
  <si>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</si>
  <si>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</si>
  <si>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</si>
  <si>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</si>
  <si>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</si>
  <si>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</si>
  <si>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</si>
  <si>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</si>
  <si>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</si>
  <si>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</si>
  <si>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</si>
  <si>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</si>
  <si>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</si>
  <si>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</si>
  <si>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</si>
  <si>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</si>
  <si>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</si>
  <si>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</si>
  <si>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</si>
  <si>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</si>
  <si>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</si>
  <si>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</si>
  <si>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</si>
  <si>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</si>
  <si>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</si>
  <si>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</si>
  <si>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</si>
  <si>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</si>
  <si>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</si>
  <si>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</si>
  <si>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</si>
  <si>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</si>
  <si>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</si>
  <si>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</si>
  <si>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</si>
  <si>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</si>
  <si>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</si>
  <si>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</si>
  <si>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</si>
  <si>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</si>
  <si>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</si>
  <si>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</si>
  <si>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</si>
  <si>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</si>
  <si>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</si>
  <si>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</si>
  <si>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</si>
  <si>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</si>
  <si>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</si>
  <si>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</si>
  <si>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</si>
  <si>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</si>
  <si>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</si>
  <si>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</si>
  <si>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</si>
  <si>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</si>
  <si>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</si>
  <si>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</si>
  <si>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</si>
  <si>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</si>
  <si>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</si>
  <si>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</si>
  <si>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</si>
  <si>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</si>
  <si>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</si>
  <si>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</si>
  <si>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</si>
  <si>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</si>
  <si>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</si>
  <si>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</si>
  <si>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</si>
  <si>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</si>
  <si>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</si>
  <si>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</si>
  <si>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</si>
  <si>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</si>
  <si>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</si>
  <si>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</si>
  <si>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</si>
  <si>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</si>
  <si>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</si>
  <si>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</si>
  <si>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</si>
  <si>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</si>
  <si>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</si>
  <si>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</si>
  <si>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</si>
  <si>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</si>
  <si>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</si>
  <si>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</si>
  <si>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</si>
  <si>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</si>
  <si>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</si>
  <si>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</si>
  <si>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</si>
  <si>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</si>
  <si>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</si>
  <si>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</si>
  <si>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</si>
  <si>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</si>
  <si>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</si>
  <si>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</si>
  <si>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</si>
  <si>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</si>
  <si>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</si>
  <si>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</si>
  <si>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</si>
  <si>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</si>
  <si>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</si>
  <si>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</si>
  <si>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</si>
  <si>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</si>
  <si>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</si>
  <si>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</si>
  <si>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</si>
  <si>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</si>
  <si>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</si>
  <si>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</si>
  <si>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</si>
  <si>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</si>
  <si>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</si>
  <si>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</si>
  <si>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</si>
  <si>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</si>
  <si>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</si>
  <si>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</si>
  <si>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</si>
  <si>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</si>
  <si>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</si>
  <si>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</si>
  <si>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</si>
  <si>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</si>
  <si>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</si>
  <si>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</si>
  <si>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</si>
  <si>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</si>
  <si>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</si>
  <si>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</si>
  <si>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</si>
  <si>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</si>
  <si>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</si>
  <si>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</si>
  <si>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</si>
  <si>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</si>
  <si>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</si>
  <si>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</si>
  <si>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</si>
  <si>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</si>
  <si>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</si>
  <si>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</si>
  <si>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</si>
  <si>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</si>
  <si>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</si>
  <si>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</si>
  <si>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</si>
  <si>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</si>
  <si>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</si>
  <si>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</si>
  <si>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</si>
  <si>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</si>
  <si>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</si>
  <si>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</si>
  <si>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</si>
  <si>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</si>
  <si>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</si>
  <si>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</si>
  <si>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</si>
  <si>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</si>
  <si>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</si>
  <si>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</si>
  <si>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</si>
  <si>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</si>
  <si>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</si>
  <si>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</si>
  <si>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</si>
  <si>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</si>
  <si>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</si>
  <si>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</si>
  <si>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</si>
  <si>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</si>
  <si>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</si>
  <si>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</si>
  <si>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</si>
  <si>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</si>
  <si>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</si>
  <si>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</si>
  <si>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</si>
  <si>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</si>
  <si>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</si>
  <si>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</si>
  <si>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</si>
  <si>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</si>
  <si>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</si>
  <si>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</si>
  <si>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</si>
  <si>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</si>
  <si>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</si>
  <si>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</si>
  <si>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</si>
  <si>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</si>
  <si>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</si>
  <si>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</si>
  <si>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</si>
  <si>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</si>
  <si>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</si>
  <si>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</si>
  <si>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</si>
  <si>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</si>
  <si>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</si>
  <si>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</si>
  <si>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</si>
  <si>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</si>
  <si>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</si>
  <si>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</si>
  <si>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</si>
  <si>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</si>
  <si>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</si>
  <si>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</si>
  <si>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</si>
  <si>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</si>
  <si>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</si>
  <si>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</si>
  <si>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</si>
  <si>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</si>
  <si>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</si>
  <si>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</si>
  <si>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</si>
  <si>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</si>
  <si>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</si>
  <si>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</si>
  <si>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</si>
  <si>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</si>
  <si>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</si>
  <si>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</si>
  <si>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</si>
  <si>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</si>
  <si>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</si>
  <si>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</si>
  <si>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</si>
  <si>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</si>
  <si>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</si>
  <si>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</si>
  <si>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</si>
  <si>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</si>
  <si>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</si>
  <si>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</si>
  <si>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</si>
  <si>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</si>
  <si>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</si>
  <si>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</si>
  <si>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</si>
  <si>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</si>
  <si>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</si>
  <si>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</si>
  <si>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</si>
  <si>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</si>
  <si>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</si>
  <si>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</si>
  <si>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</si>
  <si>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</si>
  <si>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</si>
  <si>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</si>
  <si>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</si>
  <si>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</si>
  <si>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</si>
  <si>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</si>
  <si>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</si>
  <si>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</si>
  <si>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</si>
  <si>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</si>
  <si>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</si>
  <si>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</si>
  <si>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</si>
  <si>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</si>
  <si>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</si>
  <si>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</si>
  <si>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</si>
  <si>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</si>
  <si>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</si>
  <si>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</si>
  <si>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</si>
  <si>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</si>
  <si>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</si>
  <si>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</si>
  <si>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</si>
  <si>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</si>
  <si>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</si>
  <si>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</si>
  <si>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</si>
  <si>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</si>
  <si>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</si>
  <si>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</si>
  <si>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</si>
  <si>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</si>
  <si>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</si>
  <si>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</si>
  <si>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</si>
  <si>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</si>
  <si>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</si>
  <si>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</si>
  <si>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</si>
  <si>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</si>
  <si>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</si>
  <si>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</si>
  <si>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</si>
  <si>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</si>
  <si>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</si>
  <si>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</si>
  <si>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</si>
  <si>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</si>
  <si>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</si>
  <si>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</si>
  <si>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</si>
  <si>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</si>
  <si>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</si>
  <si>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</si>
  <si>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</si>
  <si>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</si>
  <si>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</si>
  <si>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</si>
  <si>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</si>
  <si>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</si>
  <si>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</si>
  <si>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</si>
  <si>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</si>
  <si>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</si>
  <si>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</si>
  <si>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</si>
  <si>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</si>
  <si>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</si>
  <si>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</si>
  <si>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</si>
  <si>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</si>
  <si>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</si>
  <si>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</si>
  <si>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</si>
  <si>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</si>
  <si>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</si>
  <si>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</si>
  <si>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</si>
  <si>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</si>
  <si>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</si>
  <si>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</si>
  <si>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</si>
  <si>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</si>
  <si>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</si>
  <si>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</si>
  <si>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</si>
  <si>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</si>
  <si>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</si>
  <si>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</si>
  <si>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</si>
  <si>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</si>
  <si>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</si>
  <si>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</si>
  <si>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</si>
  <si>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</si>
  <si>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</si>
  <si>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</si>
  <si>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</si>
  <si>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</si>
  <si>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</si>
  <si>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</si>
  <si>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</si>
  <si>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</si>
  <si>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</si>
  <si>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</si>
  <si>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</si>
  <si>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</si>
  <si>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</si>
  <si>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</si>
  <si>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</si>
  <si>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</si>
  <si>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</si>
  <si>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</si>
  <si>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</si>
  <si>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</si>
  <si>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</si>
  <si>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</si>
  <si>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</si>
  <si>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</si>
  <si>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</si>
  <si>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</si>
  <si>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</si>
  <si>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</si>
  <si>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</si>
  <si>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</si>
  <si>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</si>
  <si>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</si>
  <si>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</si>
  <si>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</si>
  <si>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</si>
  <si>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</si>
  <si>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</si>
  <si>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</si>
  <si>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</si>
  <si>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</si>
  <si>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</si>
  <si>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</si>
  <si>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</si>
  <si>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</si>
  <si>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</si>
  <si>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</si>
  <si>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</si>
  <si>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</si>
  <si>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</si>
  <si>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</si>
  <si>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</si>
  <si>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</si>
  <si>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</si>
  <si>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</si>
  <si>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</si>
  <si>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</si>
  <si>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</si>
  <si>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</si>
  <si>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</si>
  <si>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</si>
  <si>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</si>
  <si>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</si>
  <si>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</si>
  <si>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</si>
  <si>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</si>
  <si>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</si>
  <si>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</si>
  <si>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</si>
  <si>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</si>
  <si>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</si>
  <si>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</si>
  <si>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</si>
  <si>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</si>
  <si>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</si>
  <si>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</si>
  <si>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</si>
  <si>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</si>
  <si>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</si>
  <si>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</si>
  <si>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</si>
  <si>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</si>
  <si>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</si>
  <si>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</si>
  <si>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</si>
  <si>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</si>
  <si>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</si>
  <si>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</si>
  <si>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</si>
  <si>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</si>
  <si>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</si>
  <si>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</si>
  <si>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</si>
  <si>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</si>
  <si>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</si>
  <si>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</si>
  <si>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</si>
  <si>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</si>
  <si>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</si>
  <si>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</si>
  <si>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</si>
  <si>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</si>
  <si>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</si>
  <si>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</si>
  <si>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</si>
  <si>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</si>
  <si>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</si>
  <si>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</si>
  <si>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</si>
  <si>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</si>
  <si>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</si>
  <si>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</si>
  <si>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</si>
  <si>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</si>
  <si>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</si>
  <si>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</si>
  <si>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</si>
  <si>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</si>
  <si>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</si>
  <si>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</si>
  <si>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</si>
  <si>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</si>
  <si>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</si>
  <si>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</si>
  <si>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</si>
  <si>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</si>
  <si>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</si>
  <si>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</si>
  <si>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</si>
  <si>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</si>
  <si>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</si>
  <si>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</si>
  <si>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</si>
  <si>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</si>
  <si>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</si>
  <si>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</si>
  <si>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</si>
  <si>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</si>
  <si>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</si>
  <si>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</si>
  <si>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</si>
  <si>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</si>
  <si>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</si>
  <si>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</si>
  <si>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</si>
  <si>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</si>
  <si>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</si>
  <si>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</si>
  <si>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</si>
  <si>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</si>
  <si>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</si>
  <si>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</si>
  <si>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</si>
  <si>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</si>
  <si>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</si>
  <si>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</si>
  <si>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</si>
  <si>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</si>
  <si>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</si>
  <si>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</si>
  <si>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</si>
  <si>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</si>
  <si>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</si>
  <si>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</si>
  <si>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</si>
  <si>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</si>
  <si>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</si>
  <si>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</si>
  <si>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</si>
  <si>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</si>
  <si>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</si>
  <si>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</si>
  <si>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</si>
  <si>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</si>
  <si>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</si>
  <si>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</si>
  <si>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</si>
  <si>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</si>
  <si>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</si>
  <si>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</si>
  <si>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</si>
  <si>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</si>
  <si>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</si>
  <si>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</si>
  <si>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</si>
  <si>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</si>
  <si>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</si>
  <si>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</si>
  <si>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</si>
  <si>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</si>
  <si>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</si>
  <si>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</si>
  <si>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</si>
  <si>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</si>
  <si>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</si>
  <si>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</si>
  <si>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</si>
  <si>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</si>
  <si>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</si>
  <si>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</si>
  <si>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</si>
  <si>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</si>
  <si>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</si>
  <si>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</si>
  <si>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</si>
  <si>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</si>
  <si>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</si>
  <si>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</si>
  <si>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</si>
  <si>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</si>
  <si>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</si>
  <si>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</si>
  <si>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</si>
  <si>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</si>
  <si>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</si>
  <si>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</si>
  <si>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</si>
  <si>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</si>
  <si>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</si>
  <si>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</si>
  <si>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</si>
  <si>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</si>
  <si>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</si>
  <si>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</si>
  <si>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</si>
  <si>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</si>
  <si>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</si>
  <si>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</si>
  <si>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</si>
  <si>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</si>
  <si>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</si>
  <si>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</si>
  <si>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</si>
  <si>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</si>
  <si>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</si>
  <si>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</si>
  <si>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</si>
  <si>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</si>
  <si>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</si>
  <si>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</si>
  <si>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</si>
  <si>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</si>
  <si>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</si>
  <si>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</si>
  <si>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</si>
  <si>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</si>
  <si>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</si>
  <si>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</si>
  <si>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</si>
  <si>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</si>
  <si>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</si>
  <si>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</si>
  <si>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</si>
  <si>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</si>
  <si>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</si>
  <si>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</si>
  <si>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</si>
  <si>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</si>
  <si>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</si>
  <si>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</si>
  <si>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</si>
  <si>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</si>
  <si>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</si>
  <si>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</si>
  <si>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</si>
  <si>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</si>
  <si>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</si>
  <si>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</si>
  <si>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</si>
  <si>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</si>
  <si>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</si>
  <si>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</si>
  <si>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</si>
  <si>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</si>
  <si>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</si>
  <si>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</si>
  <si>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</si>
  <si>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</si>
  <si>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</si>
  <si>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</si>
  <si>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</si>
  <si>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</si>
  <si>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</si>
  <si>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</si>
  <si>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</si>
  <si>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</si>
  <si>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</si>
  <si>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</si>
  <si>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</si>
  <si>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</si>
  <si>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</si>
  <si>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</si>
  <si>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</si>
  <si>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</si>
  <si>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</si>
  <si>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</si>
  <si>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</si>
  <si>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</si>
  <si>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</si>
  <si>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</si>
  <si>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</si>
  <si>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</si>
  <si>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</si>
  <si>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</si>
  <si>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</si>
  <si>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</si>
  <si>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</si>
  <si>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</si>
  <si>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</si>
  <si>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</si>
  <si>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</si>
  <si>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</si>
  <si>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</si>
  <si>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</si>
  <si>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</si>
  <si>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</si>
  <si>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</si>
  <si>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</si>
  <si>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</si>
  <si>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</si>
  <si>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</si>
  <si>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</si>
  <si>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</si>
  <si>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</si>
  <si>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</si>
  <si>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</si>
  <si>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</si>
  <si>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</si>
  <si>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</si>
  <si>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</si>
  <si>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</si>
  <si>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</si>
  <si>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</si>
  <si>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</si>
  <si>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</si>
  <si>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</si>
  <si>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</si>
  <si>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</si>
  <si>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</si>
  <si>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</si>
  <si>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</si>
  <si>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</si>
  <si>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</si>
  <si>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</si>
  <si>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</si>
  <si>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</si>
  <si>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</si>
  <si>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</si>
  <si>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</si>
  <si>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</si>
  <si>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</si>
  <si>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</si>
  <si>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</si>
  <si>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</si>
  <si>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</si>
  <si>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</si>
  <si>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</si>
  <si>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</si>
  <si>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</si>
  <si>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</si>
  <si>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</si>
  <si>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</si>
  <si>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</si>
  <si>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</si>
  <si>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</si>
  <si>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</si>
  <si>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</si>
  <si>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</si>
  <si>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</si>
  <si>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</si>
  <si>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</si>
  <si>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</si>
  <si>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</si>
  <si>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</si>
  <si>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</si>
  <si>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</si>
  <si>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</si>
  <si>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</si>
  <si>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</si>
  <si>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</si>
  <si>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</si>
  <si>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</si>
  <si>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</si>
  <si>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</si>
  <si>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</si>
  <si>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</si>
  <si>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</si>
  <si>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</si>
  <si>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</si>
  <si>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</si>
  <si>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</si>
  <si>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</si>
  <si>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</si>
  <si>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</si>
  <si>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</si>
  <si>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</si>
  <si>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</si>
  <si>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</si>
  <si>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</si>
  <si>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</si>
  <si>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</si>
  <si>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</si>
  <si>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</si>
  <si>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</si>
  <si>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</si>
  <si>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</si>
  <si>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</si>
  <si>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</si>
  <si>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</si>
  <si>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</si>
  <si>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</si>
  <si>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</si>
  <si>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</si>
  <si>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</si>
  <si>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</si>
  <si>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</si>
  <si>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</si>
  <si>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</si>
  <si>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</si>
  <si>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</si>
  <si>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</si>
  <si>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</si>
  <si>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</si>
  <si>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</si>
  <si>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</si>
  <si>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</si>
  <si>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</si>
  <si>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</si>
  <si>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</si>
  <si>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</si>
  <si>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</si>
  <si>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</si>
  <si>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</si>
  <si>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</si>
  <si>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</si>
  <si>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</si>
  <si>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</si>
  <si>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</si>
  <si>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</si>
  <si>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</si>
  <si>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</si>
  <si>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</si>
  <si>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</si>
  <si>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</si>
  <si>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</si>
  <si>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</si>
  <si>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</si>
  <si>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</si>
  <si>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</si>
  <si>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</si>
  <si>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</si>
  <si>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</si>
  <si>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</si>
  <si>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</si>
  <si>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</si>
  <si>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</si>
  <si>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</si>
  <si>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</si>
  <si>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</si>
  <si>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</si>
  <si>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</si>
  <si>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</si>
  <si>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</si>
  <si>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</si>
  <si>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</si>
  <si>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</si>
  <si>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</si>
  <si>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</si>
  <si>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</si>
  <si>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</si>
  <si>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</si>
  <si>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</si>
  <si>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</si>
  <si>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</si>
  <si>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</si>
  <si>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</si>
  <si>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</si>
  <si>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</si>
  <si>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</si>
  <si>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</si>
  <si>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</si>
  <si>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</si>
  <si>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</si>
  <si>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</si>
  <si>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</si>
  <si>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</si>
  <si>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</si>
  <si>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</si>
  <si>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</si>
  <si>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</si>
  <si>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</si>
  <si>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</si>
  <si>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</si>
  <si>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</si>
  <si>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</si>
  <si>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</si>
  <si>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</si>
  <si>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</si>
  <si>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</si>
  <si>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</si>
  <si>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</si>
  <si>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</si>
  <si>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</si>
  <si>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</si>
  <si>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</si>
  <si>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</si>
  <si>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</si>
  <si>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</si>
  <si>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</si>
  <si>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</si>
  <si>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</si>
  <si>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</si>
  <si>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</si>
  <si>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</si>
  <si>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</si>
  <si>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</si>
  <si>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</si>
  <si>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</si>
  <si>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</si>
  <si>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</si>
  <si>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</si>
  <si>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</si>
  <si>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</si>
  <si>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</si>
  <si>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</si>
  <si>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</si>
  <si>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</si>
  <si>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</si>
  <si>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</si>
  <si>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</si>
  <si>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</si>
  <si>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</si>
  <si>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</si>
  <si>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</si>
  <si>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</si>
  <si>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</si>
  <si>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</si>
  <si>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</si>
  <si>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</si>
  <si>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</si>
  <si>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</si>
  <si>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</si>
  <si>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</si>
  <si>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</si>
  <si>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</si>
  <si>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</si>
  <si>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</si>
  <si>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</si>
  <si>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</si>
  <si>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</si>
  <si>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</si>
  <si>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</si>
  <si>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</si>
  <si>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</si>
  <si>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</si>
  <si>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</si>
  <si>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</si>
  <si>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</si>
  <si>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</si>
  <si>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</si>
  <si>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</si>
  <si>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</si>
  <si>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</si>
  <si>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</si>
  <si>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</si>
  <si>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</si>
  <si>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</si>
  <si>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</si>
  <si>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</si>
  <si>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</si>
  <si>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</si>
  <si>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</si>
  <si>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</si>
  <si>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</si>
  <si>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</si>
  <si>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</si>
  <si>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</si>
  <si>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</si>
  <si>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</si>
  <si>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</si>
  <si>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</si>
  <si>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</si>
  <si>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</si>
  <si>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</si>
  <si>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</si>
  <si>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</si>
  <si>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</si>
  <si>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</si>
  <si>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</si>
  <si>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</si>
  <si>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</si>
  <si>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</si>
  <si>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</si>
  <si>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</si>
  <si>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</si>
  <si>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</si>
  <si>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</si>
  <si>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</si>
  <si>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</si>
  <si>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</si>
  <si>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</si>
  <si>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</si>
  <si>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</si>
  <si>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</si>
  <si>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</si>
  <si>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</si>
  <si>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</si>
  <si>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</si>
  <si>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</si>
  <si>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</si>
  <si>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</si>
  <si>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</si>
  <si>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</si>
  <si>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</si>
  <si>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</si>
  <si>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</si>
  <si>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</si>
  <si>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</si>
  <si>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</si>
  <si>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</si>
  <si>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</si>
  <si>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</si>
  <si>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</si>
  <si>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</si>
  <si>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</si>
  <si>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</si>
  <si>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</si>
  <si>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</si>
  <si>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</si>
  <si>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</si>
  <si>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</si>
  <si>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</si>
  <si>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</si>
  <si>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</si>
  <si>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</si>
  <si>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</si>
  <si>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</si>
  <si>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</si>
  <si>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</si>
  <si>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</si>
  <si>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</si>
  <si>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</si>
  <si>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</si>
  <si>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</si>
  <si>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</si>
  <si>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</si>
  <si>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</si>
  <si>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</si>
  <si>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</si>
  <si>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</si>
  <si>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</si>
  <si>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</si>
  <si>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</si>
  <si>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</si>
  <si>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</si>
  <si>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</si>
  <si>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</si>
  <si>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</si>
  <si>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</si>
  <si>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</si>
  <si>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</si>
  <si>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</si>
  <si>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</si>
  <si>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</si>
  <si>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</si>
  <si>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</si>
  <si>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</si>
  <si>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</si>
  <si>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</si>
  <si>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</si>
  <si>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</si>
  <si>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</si>
  <si>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</si>
  <si>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</si>
  <si>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</si>
  <si>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</si>
  <si>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</si>
  <si>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</si>
  <si>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</si>
  <si>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</si>
  <si>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</si>
  <si>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</si>
  <si>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</si>
  <si>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</si>
  <si>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</si>
  <si>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</si>
  <si>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</si>
  <si>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</si>
  <si>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</si>
  <si>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</si>
  <si>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</si>
  <si>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</si>
  <si>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</si>
  <si>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</si>
  <si>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</si>
  <si>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</si>
  <si>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</si>
  <si>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</si>
  <si>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</si>
  <si>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</si>
  <si>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</si>
  <si>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</si>
  <si>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</si>
  <si>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</si>
  <si>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</si>
  <si>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</si>
  <si>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</si>
  <si>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</si>
  <si>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</si>
  <si>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</si>
  <si>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</si>
  <si>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</si>
  <si>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</si>
  <si>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</si>
  <si>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</si>
  <si>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</si>
  <si>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</si>
  <si>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</si>
  <si>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</si>
  <si>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</si>
  <si>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</si>
  <si>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</si>
  <si>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</si>
  <si>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</si>
  <si>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</si>
  <si>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</si>
  <si>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</si>
  <si>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</si>
  <si>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</si>
  <si>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</si>
  <si>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</si>
  <si>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</si>
  <si>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</si>
  <si>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</si>
  <si>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</si>
  <si>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</si>
  <si>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</si>
  <si>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</si>
  <si>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</si>
  <si>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</si>
  <si>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</si>
  <si>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</si>
  <si>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</si>
  <si>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</si>
  <si>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</si>
  <si>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</si>
  <si>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</si>
  <si>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</si>
  <si>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</si>
  <si>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</si>
  <si>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</si>
  <si>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</si>
  <si>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</si>
  <si>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</si>
  <si>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</si>
  <si>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</si>
  <si>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</si>
  <si>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</si>
  <si>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</si>
  <si>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</si>
  <si>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</si>
  <si>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</si>
  <si>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</si>
  <si>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</si>
  <si>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</si>
  <si>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</si>
  <si>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</si>
  <si>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</si>
  <si>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</si>
  <si>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</si>
  <si>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</si>
  <si>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</si>
  <si>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</si>
  <si>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</si>
  <si>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</si>
  <si>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</si>
  <si>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</si>
  <si>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</si>
  <si>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</si>
  <si>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</si>
  <si>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</si>
  <si>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</si>
  <si>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</si>
  <si>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</si>
  <si>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</si>
  <si>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</si>
  <si>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</si>
  <si>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</si>
  <si>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</si>
  <si>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</si>
  <si>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</si>
  <si>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</si>
  <si>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</si>
  <si>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</si>
  <si>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</si>
  <si>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</si>
  <si>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</si>
  <si>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</si>
  <si>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</si>
  <si>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</si>
  <si>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</si>
  <si>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</si>
  <si>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</si>
  <si>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</si>
  <si>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</si>
  <si>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</si>
  <si>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</si>
  <si>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</si>
  <si>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</si>
  <si>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</si>
  <si>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</si>
  <si>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</si>
  <si>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</si>
  <si>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</si>
  <si>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</si>
  <si>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</si>
  <si>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</si>
  <si>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</si>
  <si>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</si>
  <si>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</si>
  <si>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</si>
  <si>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</si>
  <si>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</si>
  <si>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</si>
  <si>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</si>
  <si>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</si>
  <si>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</si>
  <si>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</si>
  <si>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</si>
  <si>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</si>
  <si>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</si>
  <si>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</si>
  <si>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</si>
  <si>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</si>
  <si>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</si>
  <si>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</si>
  <si>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</si>
  <si>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</si>
  <si>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</si>
  <si>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</si>
  <si>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</si>
  <si>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</si>
  <si>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</si>
  <si>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</si>
  <si>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</si>
  <si>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</si>
  <si>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</si>
  <si>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</si>
  <si>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</si>
  <si>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</si>
  <si>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</si>
  <si>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</si>
  <si>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</si>
  <si>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</si>
  <si>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</si>
  <si>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</si>
  <si>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</si>
  <si>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</si>
  <si>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</si>
  <si>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</si>
  <si>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</si>
  <si>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</si>
  <si>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</si>
  <si>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</si>
  <si>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</si>
  <si>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</si>
  <si>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</si>
  <si>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</si>
  <si>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</si>
  <si>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</si>
  <si>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</si>
  <si>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</si>
  <si>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</si>
  <si>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</si>
  <si>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</si>
  <si>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</si>
  <si>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</si>
  <si>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</si>
  <si>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</si>
  <si>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</si>
  <si>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</si>
  <si>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</si>
  <si>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</si>
  <si>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</si>
  <si>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</si>
  <si>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</si>
  <si>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</si>
  <si>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</si>
  <si>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</si>
  <si>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</si>
  <si>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</si>
  <si>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</si>
  <si>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</si>
  <si>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</si>
  <si>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</si>
  <si>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</si>
  <si>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</si>
  <si>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</si>
  <si>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</si>
  <si>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</si>
  <si>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</si>
  <si>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</si>
  <si>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</si>
  <si>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</si>
  <si>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</si>
  <si>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</si>
  <si>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</si>
  <si>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</si>
  <si>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</si>
  <si>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</si>
  <si>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</si>
  <si>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</si>
  <si>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</si>
  <si>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</si>
  <si>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</si>
  <si>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</si>
  <si>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</si>
  <si>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</si>
  <si>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</si>
  <si>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</si>
  <si>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</si>
  <si>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</si>
  <si>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</si>
  <si>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</si>
  <si>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</si>
  <si>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</si>
  <si>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</si>
  <si>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</si>
  <si>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</si>
  <si>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</si>
  <si>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</si>
  <si>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</si>
  <si>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</si>
  <si>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</si>
  <si>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</si>
  <si>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</si>
  <si>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</si>
  <si>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</si>
  <si>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</si>
  <si>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</si>
  <si>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</si>
  <si>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</si>
  <si>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</si>
  <si>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</si>
  <si>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</si>
  <si>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</si>
  <si>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</si>
  <si>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</si>
  <si>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</si>
  <si>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</si>
  <si>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</si>
  <si>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</si>
  <si>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</si>
  <si>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</si>
  <si>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</si>
  <si>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</si>
  <si>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</si>
  <si>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</si>
  <si>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</si>
  <si>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</si>
  <si>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</si>
  <si>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</si>
  <si>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</si>
  <si>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</si>
  <si>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</si>
  <si>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</si>
  <si>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</si>
  <si>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</si>
  <si>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</si>
  <si>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</si>
  <si>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</si>
  <si>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</si>
  <si>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</si>
  <si>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</si>
  <si>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</si>
  <si>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</si>
  <si>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</si>
  <si>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</si>
  <si>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</si>
  <si>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</si>
  <si>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</si>
  <si>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</si>
  <si>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</si>
  <si>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</si>
  <si>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</si>
  <si>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</si>
  <si>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</si>
  <si>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</si>
  <si>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</si>
  <si>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</si>
  <si>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</si>
  <si>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</si>
  <si>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</si>
  <si>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</si>
  <si>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</si>
  <si>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</si>
  <si>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</si>
  <si>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</si>
  <si>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</si>
  <si>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</si>
  <si>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</si>
  <si>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</si>
  <si>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</si>
  <si>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</si>
  <si>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</si>
  <si>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</si>
  <si>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</si>
  <si>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</si>
  <si>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</si>
  <si>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</si>
  <si>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</si>
  <si>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</si>
  <si>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</si>
  <si>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</si>
  <si>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</si>
  <si>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</si>
  <si>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</si>
  <si>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</si>
  <si>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</si>
  <si>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</si>
  <si>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</si>
  <si>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</si>
  <si>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</si>
  <si>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</si>
  <si>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</si>
  <si>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</si>
  <si>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</si>
  <si>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</si>
  <si>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</si>
  <si>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</si>
  <si>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</si>
  <si>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</si>
  <si>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</si>
  <si>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</si>
  <si>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</si>
  <si>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</si>
  <si>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</si>
  <si>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</si>
  <si>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</si>
  <si>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</si>
  <si>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</si>
  <si>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</si>
  <si>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</si>
  <si>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</si>
  <si>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</si>
  <si>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</si>
  <si>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</si>
  <si>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</si>
  <si>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</si>
  <si>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</si>
  <si>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</si>
  <si>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</si>
  <si>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</si>
  <si>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</si>
  <si>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</si>
  <si>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</si>
  <si>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</si>
  <si>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</si>
  <si>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</si>
  <si>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</si>
  <si>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</si>
  <si>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</si>
  <si>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</si>
  <si>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</si>
  <si>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</si>
  <si>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</si>
  <si>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</si>
  <si>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</si>
  <si>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</si>
  <si>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</si>
  <si>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</si>
  <si>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</si>
  <si>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</si>
  <si>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</si>
  <si>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</si>
  <si>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</si>
  <si>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</si>
  <si>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</si>
  <si>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</si>
  <si>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</si>
  <si>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</si>
  <si>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</si>
  <si>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</si>
  <si>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</si>
  <si>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</si>
  <si>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</si>
  <si>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</si>
  <si>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</si>
  <si>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</si>
  <si>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</si>
  <si>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</si>
  <si>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</si>
  <si>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</si>
  <si>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</si>
  <si>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</si>
  <si>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</si>
  <si>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</si>
  <si>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</si>
  <si>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</si>
  <si>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</si>
  <si>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</si>
  <si>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</si>
  <si>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</si>
  <si>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</si>
  <si>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</si>
  <si>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</si>
  <si>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</si>
  <si>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</si>
  <si>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</si>
  <si>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</si>
  <si>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</si>
  <si>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</si>
  <si>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</si>
  <si>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</si>
  <si>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</si>
  <si>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</si>
  <si>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</si>
  <si>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</si>
  <si>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</si>
  <si>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</si>
  <si>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</si>
  <si>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</si>
  <si>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</si>
  <si>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</si>
  <si>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</si>
  <si>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</si>
  <si>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</si>
  <si>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</si>
  <si>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</si>
  <si>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</si>
  <si>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</si>
  <si>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</si>
  <si>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</si>
  <si>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</si>
  <si>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</si>
  <si>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</si>
  <si>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</si>
  <si>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</si>
  <si>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</si>
  <si>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</si>
  <si>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</si>
  <si>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</si>
  <si>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</si>
  <si>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</si>
  <si>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</si>
  <si>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</si>
  <si>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</si>
  <si>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</si>
  <si>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</si>
  <si>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</si>
  <si>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</si>
  <si>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</si>
  <si>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</si>
  <si>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</si>
  <si>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</si>
  <si>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</si>
  <si>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</si>
  <si>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</si>
  <si>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</si>
  <si>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</si>
  <si>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</si>
  <si>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</si>
  <si>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</si>
  <si>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</si>
  <si>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</si>
  <si>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</si>
  <si>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</si>
  <si>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</si>
  <si>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</si>
  <si>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</si>
  <si>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</si>
  <si>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</si>
  <si>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</si>
  <si>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</si>
  <si>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</si>
  <si>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</si>
  <si>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</si>
  <si>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</si>
  <si>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</si>
  <si>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</si>
  <si>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</si>
  <si>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</si>
  <si>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</si>
  <si>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</si>
  <si>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</si>
  <si>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</si>
  <si>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</si>
  <si>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</si>
  <si>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</si>
  <si>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</si>
  <si>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</si>
  <si>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</si>
  <si>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</si>
  <si>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</si>
  <si>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</si>
  <si>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</si>
  <si>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</si>
  <si>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</si>
  <si>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</si>
  <si>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</si>
  <si>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</si>
  <si>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</si>
  <si>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</si>
  <si>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</si>
  <si>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</si>
  <si>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</si>
  <si>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</si>
  <si>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</si>
  <si>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</si>
  <si>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</si>
  <si>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</si>
  <si>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</si>
  <si>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</si>
  <si>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</si>
  <si>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</si>
  <si>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</si>
  <si>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</si>
  <si>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</si>
  <si>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</si>
  <si>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</si>
  <si>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</si>
  <si>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</si>
  <si>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</si>
  <si>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</si>
  <si>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</si>
  <si>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</si>
  <si>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</si>
  <si>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</si>
  <si>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</si>
  <si>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</si>
  <si>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</si>
  <si>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</si>
  <si>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</si>
  <si>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</si>
  <si>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</si>
  <si>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</si>
  <si>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</si>
  <si>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</si>
  <si>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</si>
  <si>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</si>
  <si>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</si>
  <si>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</si>
  <si>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</si>
  <si>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</si>
  <si>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</si>
  <si>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</si>
  <si>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</si>
  <si>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</si>
  <si>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</si>
  <si>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</si>
  <si>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</si>
  <si>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</si>
  <si>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</si>
  <si>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</si>
  <si>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</si>
  <si>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</si>
  <si>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</si>
  <si>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</si>
  <si>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</si>
  <si>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</si>
  <si>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</si>
  <si>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</si>
  <si>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</si>
  <si>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</si>
  <si>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</si>
  <si>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</si>
  <si>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</si>
  <si>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</si>
  <si>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</si>
  <si>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</si>
  <si>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</si>
  <si>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</si>
  <si>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</si>
  <si>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</si>
  <si>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</si>
  <si>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</si>
  <si>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</si>
  <si>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</si>
  <si>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</si>
  <si>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</si>
  <si>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</si>
  <si>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</si>
  <si>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</si>
  <si>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</si>
  <si>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</si>
  <si>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</si>
  <si>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</si>
  <si>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</si>
  <si>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</si>
  <si>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</si>
  <si>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</si>
  <si>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</si>
  <si>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</si>
  <si>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</si>
  <si>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</si>
  <si>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</si>
  <si>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</si>
  <si>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</si>
  <si>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</si>
  <si>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</si>
  <si>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</si>
  <si>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</si>
  <si>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</si>
  <si>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</si>
  <si>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</si>
  <si>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</si>
  <si>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</si>
  <si>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</si>
  <si>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</si>
  <si>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</si>
  <si>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</si>
  <si>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</si>
  <si>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</si>
  <si>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</si>
  <si>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</si>
  <si>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</si>
  <si>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</si>
  <si>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</si>
  <si>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</si>
  <si>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</si>
  <si>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</si>
  <si>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</si>
  <si>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</si>
  <si>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</si>
  <si>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</si>
  <si>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</si>
  <si>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</si>
  <si>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</si>
  <si>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</si>
  <si>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</si>
  <si>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</si>
  <si>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</si>
  <si>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</si>
  <si>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</si>
  <si>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</si>
  <si>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</si>
  <si>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</si>
  <si>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</si>
  <si>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</si>
  <si>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</si>
  <si>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</si>
  <si>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</si>
  <si>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</si>
  <si>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</si>
  <si>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</si>
  <si>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</si>
  <si>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</si>
  <si>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</si>
  <si>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</si>
  <si>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</si>
  <si>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</si>
  <si>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</si>
  <si>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</si>
  <si>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</si>
  <si>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</si>
  <si>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</si>
  <si>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</si>
  <si>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</si>
  <si>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</si>
  <si>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</si>
  <si>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</si>
  <si>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</si>
  <si>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</si>
  <si>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</si>
  <si>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</si>
  <si>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</si>
  <si>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</si>
  <si>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</si>
  <si>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</si>
  <si>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</si>
  <si>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</si>
  <si>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</si>
  <si>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</si>
  <si>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</si>
  <si>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</si>
  <si>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</si>
  <si>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</si>
  <si>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</si>
  <si>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</si>
  <si>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</si>
  <si>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</si>
  <si>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</si>
  <si>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</si>
  <si>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</si>
  <si>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</si>
  <si>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</si>
  <si>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</si>
  <si>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</si>
  <si>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</si>
  <si>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</si>
  <si>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</si>
  <si>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</si>
  <si>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</si>
  <si>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</si>
  <si>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</si>
  <si>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</si>
  <si>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</si>
  <si>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</si>
  <si>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</si>
  <si>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</si>
  <si>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</si>
  <si>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</si>
  <si>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</si>
  <si>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</si>
  <si>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</si>
  <si>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</si>
  <si>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</si>
  <si>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</si>
  <si>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</si>
  <si>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</si>
  <si>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</si>
  <si>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</si>
  <si>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</si>
  <si>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</si>
  <si>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</si>
  <si>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</si>
  <si>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</si>
  <si>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</si>
  <si>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</si>
  <si>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</si>
  <si>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</si>
  <si>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</si>
  <si>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</si>
  <si>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</si>
  <si>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</si>
  <si>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</si>
  <si>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</si>
  <si>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</si>
  <si>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</si>
  <si>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</si>
  <si>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</si>
  <si>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</si>
  <si>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</si>
  <si>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</si>
  <si>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</si>
  <si>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</si>
  <si>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</si>
  <si>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</si>
  <si>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</si>
  <si>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</si>
  <si>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</si>
  <si>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</si>
  <si>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</si>
  <si>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</si>
  <si>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</si>
  <si>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</si>
  <si>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</si>
  <si>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</si>
  <si>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</si>
  <si>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</si>
  <si>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</si>
  <si>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</si>
  <si>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</si>
  <si>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</si>
  <si>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</si>
  <si>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</si>
  <si>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</si>
  <si>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</si>
  <si>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</si>
  <si>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</si>
  <si>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</si>
  <si>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</si>
  <si>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</si>
  <si>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</si>
  <si>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</si>
  <si>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</si>
  <si>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</si>
  <si>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</si>
  <si>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</si>
  <si>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</si>
  <si>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</si>
  <si>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</si>
  <si>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</si>
  <si>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</si>
  <si>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</si>
  <si>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</si>
  <si>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</si>
  <si>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</si>
  <si>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</si>
  <si>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</si>
  <si>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</si>
  <si>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</si>
  <si>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</si>
  <si>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</si>
  <si>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</si>
  <si>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</si>
  <si>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</si>
  <si>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</si>
  <si>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</si>
  <si>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</si>
  <si>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</si>
  <si>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</si>
  <si>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</si>
  <si>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</si>
  <si>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</si>
  <si>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</si>
  <si>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</si>
  <si>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</si>
  <si>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</si>
  <si>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</si>
  <si>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</si>
  <si>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</si>
  <si>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</si>
  <si>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</si>
  <si>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</si>
  <si>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</si>
  <si>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</si>
  <si>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</si>
  <si>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</si>
  <si>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</si>
  <si>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</si>
  <si>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</si>
  <si>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</si>
  <si>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</si>
  <si>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</si>
  <si>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</si>
  <si>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</si>
  <si>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</si>
  <si>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</si>
  <si>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</si>
  <si>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</si>
  <si>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</si>
  <si>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</si>
  <si>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</si>
  <si>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</si>
  <si>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</si>
  <si>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</si>
  <si>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</si>
  <si>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</si>
  <si>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</si>
  <si>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</si>
  <si>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</si>
  <si>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</si>
  <si>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</si>
  <si>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</si>
  <si>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</si>
  <si>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</si>
  <si>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</si>
  <si>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</si>
  <si>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</si>
  <si>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</si>
  <si>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</si>
  <si>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</si>
  <si>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</si>
  <si>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</si>
  <si>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</si>
  <si>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</si>
  <si>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</si>
  <si>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</si>
  <si>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</si>
  <si>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</si>
  <si>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</si>
  <si>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</si>
  <si>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</si>
  <si>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</si>
  <si>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</si>
  <si>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</si>
  <si>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</si>
  <si>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</si>
  <si>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</si>
  <si>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</si>
  <si>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</si>
  <si>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</si>
  <si>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</si>
  <si>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</si>
  <si>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</si>
  <si>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</si>
  <si>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</si>
  <si>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</si>
  <si>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</si>
  <si>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</si>
  <si>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</si>
  <si>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</si>
  <si>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</si>
  <si>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</si>
  <si>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</si>
  <si>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</si>
  <si>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</si>
  <si>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</si>
  <si>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</si>
  <si>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</si>
  <si>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</si>
  <si>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</si>
  <si>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</si>
  <si>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</si>
  <si>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</si>
  <si>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</si>
  <si>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</si>
  <si>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</si>
  <si>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</si>
  <si>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</si>
  <si>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</si>
  <si>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</si>
  <si>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</si>
  <si>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</si>
  <si>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</si>
  <si>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</si>
  <si>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</si>
  <si>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</si>
  <si>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</si>
  <si>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</si>
  <si>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</si>
  <si>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</si>
  <si>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</si>
  <si>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</si>
  <si>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</si>
  <si>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</si>
  <si>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</si>
  <si>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</si>
  <si>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</si>
  <si>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</si>
  <si>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</si>
  <si>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</si>
  <si>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</si>
  <si>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</si>
  <si>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</si>
  <si>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</si>
  <si>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</si>
  <si>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</si>
  <si>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</si>
  <si>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</si>
  <si>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</si>
  <si>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</si>
  <si>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</si>
  <si>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</si>
  <si>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</si>
  <si>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</si>
  <si>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</si>
  <si>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</si>
  <si>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</si>
  <si>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</si>
  <si>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</si>
  <si>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</si>
  <si>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</si>
  <si>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</si>
  <si>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</si>
  <si>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</si>
  <si>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</si>
  <si>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</si>
  <si>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</si>
  <si>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</si>
  <si>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</si>
  <si>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</si>
  <si>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</si>
  <si>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</si>
  <si>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</si>
  <si>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</si>
  <si>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</si>
  <si>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</si>
  <si>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</si>
  <si>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</si>
  <si>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</si>
  <si>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</si>
  <si>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</si>
  <si>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</si>
  <si>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</si>
  <si>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</si>
  <si>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</si>
  <si>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</si>
  <si>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</si>
  <si>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</si>
  <si>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</si>
  <si>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</si>
  <si>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</si>
  <si>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</si>
  <si>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</si>
  <si>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</si>
  <si>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</si>
  <si>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</si>
  <si>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</si>
  <si>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</si>
  <si>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</si>
  <si>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</si>
  <si>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</si>
  <si>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</si>
  <si>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</si>
  <si>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</si>
  <si>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</si>
  <si>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</si>
  <si>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</si>
  <si>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</si>
  <si>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</si>
  <si>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</si>
  <si>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</si>
  <si>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</si>
  <si>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</si>
  <si>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</si>
  <si>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</si>
  <si>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</si>
  <si>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</si>
  <si>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</si>
  <si>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</si>
  <si>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</si>
  <si>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</si>
  <si>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</si>
  <si>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</si>
  <si>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</si>
  <si>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</si>
  <si>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</si>
  <si>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</si>
  <si>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</si>
  <si>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</si>
  <si>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</si>
  <si>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</si>
  <si>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</si>
  <si>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</si>
  <si>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</si>
  <si>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</si>
  <si>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</si>
  <si>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</si>
  <si>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</si>
  <si>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</si>
  <si>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</si>
  <si>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</si>
  <si>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</si>
  <si>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</si>
  <si>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</si>
  <si>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</si>
  <si>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</si>
  <si>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</si>
  <si>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</si>
  <si>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</si>
  <si>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</si>
  <si>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</si>
  <si>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</si>
  <si>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</si>
  <si>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</si>
  <si>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</si>
  <si>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</si>
  <si>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</si>
  <si>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</si>
  <si>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</si>
  <si>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</si>
  <si>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</si>
  <si>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</si>
  <si>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</si>
  <si>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</si>
  <si>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</si>
  <si>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</si>
  <si>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</si>
  <si>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</si>
  <si>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</si>
  <si>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</si>
  <si>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</si>
  <si>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</si>
  <si>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</si>
  <si>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</si>
  <si>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</si>
  <si>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</si>
  <si>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</si>
  <si>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</si>
  <si>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</si>
  <si>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</si>
  <si>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</si>
  <si>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</si>
  <si>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</si>
  <si>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</si>
  <si>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</si>
  <si>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</si>
  <si>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</si>
  <si>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</si>
  <si>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</si>
  <si>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</si>
  <si>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</si>
  <si>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</si>
  <si>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</si>
  <si>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</si>
  <si>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</si>
  <si>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</si>
  <si>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</si>
  <si>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</si>
  <si>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</si>
  <si>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</si>
  <si>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</si>
  <si>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</si>
  <si>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</si>
  <si>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</si>
  <si>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</si>
  <si>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</si>
  <si>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</si>
  <si>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</si>
  <si>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</si>
  <si>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</si>
  <si>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</si>
  <si>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</si>
  <si>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</si>
  <si>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</si>
  <si>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</si>
  <si>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</si>
  <si>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</si>
  <si>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</si>
  <si>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</si>
  <si>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</si>
  <si>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</si>
  <si>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</si>
  <si>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</si>
  <si>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</si>
  <si>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</si>
  <si>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</si>
  <si>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</si>
  <si>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</si>
  <si>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</si>
  <si>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</si>
  <si>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</si>
  <si>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</si>
  <si>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</si>
  <si>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</si>
  <si>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</si>
  <si>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</si>
  <si>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</si>
  <si>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</si>
  <si>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</si>
  <si>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</si>
  <si>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</si>
  <si>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</si>
  <si>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</si>
  <si>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</si>
  <si>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</si>
  <si>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</si>
  <si>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</si>
  <si>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</si>
  <si>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</si>
  <si>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</si>
  <si>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</si>
  <si>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</si>
  <si>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</si>
  <si>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</si>
  <si>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</si>
  <si>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</si>
  <si>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</si>
  <si>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</si>
  <si>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</si>
  <si>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</si>
  <si>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</si>
  <si>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</si>
  <si>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</si>
  <si>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</si>
  <si>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</si>
  <si>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</si>
  <si>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</si>
  <si>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</si>
  <si>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</si>
  <si>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</si>
  <si>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</si>
  <si>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</si>
  <si>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</si>
  <si>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</si>
  <si>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</si>
  <si>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</si>
  <si>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</si>
  <si>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</si>
  <si>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</si>
  <si>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</si>
  <si>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</si>
  <si>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</si>
  <si>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</si>
  <si>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</si>
  <si>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</si>
  <si>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</si>
  <si>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</si>
  <si>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</si>
  <si>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</si>
  <si>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</si>
  <si>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</si>
  <si>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</si>
  <si>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</si>
  <si>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</si>
  <si>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</si>
  <si>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</si>
  <si>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</si>
  <si>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</si>
  <si>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</si>
  <si>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</si>
  <si>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</si>
  <si>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</si>
  <si>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</si>
  <si>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</si>
  <si>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</si>
  <si>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</si>
  <si>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</si>
  <si>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</si>
  <si>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</si>
  <si>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</si>
  <si>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</si>
  <si>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</si>
  <si>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</si>
  <si>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</si>
  <si>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</si>
  <si>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</si>
  <si>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</si>
  <si>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</si>
  <si>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</si>
  <si>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</si>
  <si>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</si>
  <si>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</si>
  <si>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</si>
  <si>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</si>
  <si>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</si>
  <si>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</si>
  <si>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</si>
  <si>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</si>
  <si>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</si>
  <si>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</si>
  <si>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</si>
  <si>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</si>
  <si>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</si>
  <si>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</si>
  <si>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</si>
  <si>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</si>
  <si>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</si>
  <si>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</si>
  <si>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</si>
  <si>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</si>
  <si>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</si>
  <si>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</si>
  <si>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</si>
  <si>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</si>
  <si>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</si>
  <si>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</si>
  <si>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</si>
  <si>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</si>
  <si>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</si>
  <si>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</si>
  <si>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</si>
  <si>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</si>
  <si>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</si>
  <si>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</si>
  <si>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</si>
  <si>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</si>
  <si>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</si>
  <si>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</si>
  <si>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</si>
  <si>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</si>
  <si>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</si>
  <si>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</si>
  <si>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</si>
  <si>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</si>
  <si>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</si>
  <si>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</si>
  <si>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</si>
  <si>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</si>
  <si>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</si>
  <si>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</si>
  <si>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</si>
  <si>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</si>
  <si>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</si>
  <si>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</si>
  <si>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</si>
  <si>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</si>
  <si>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</si>
  <si>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</si>
  <si>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</si>
  <si>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</si>
  <si>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</si>
  <si>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</si>
  <si>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</si>
  <si>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</si>
  <si>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</si>
  <si>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</si>
  <si>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</si>
  <si>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</si>
  <si>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</si>
  <si>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</si>
  <si>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</si>
  <si>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</si>
  <si>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</si>
  <si>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</si>
  <si>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</si>
  <si>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</si>
  <si>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</si>
  <si>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</si>
  <si>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</si>
  <si>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</si>
  <si>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</si>
  <si>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</si>
  <si>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</si>
  <si>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</si>
  <si>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</si>
  <si>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</si>
  <si>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</si>
  <si>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</si>
  <si>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</si>
  <si>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</si>
  <si>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</si>
  <si>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</si>
  <si>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</si>
  <si>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</si>
  <si>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</si>
  <si>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</si>
  <si>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</si>
  <si>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</si>
  <si>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</si>
  <si>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</si>
  <si>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</si>
  <si>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</si>
  <si>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</si>
  <si>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</si>
  <si>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</si>
  <si>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</si>
  <si>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</si>
  <si>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</si>
  <si>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</si>
  <si>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</si>
  <si>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</si>
  <si>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</si>
  <si>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</si>
  <si>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</si>
  <si>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</si>
  <si>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</si>
  <si>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</si>
  <si>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</si>
  <si>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</si>
  <si>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</si>
  <si>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</si>
  <si>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</si>
  <si>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</si>
  <si>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</si>
  <si>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</si>
  <si>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</si>
  <si>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</si>
  <si>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</si>
  <si>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</si>
  <si>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</si>
  <si>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</si>
  <si>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</si>
  <si>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</si>
  <si>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</si>
  <si>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</si>
  <si>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</si>
  <si>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</si>
  <si>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</si>
  <si>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</si>
  <si>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</si>
  <si>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</si>
  <si>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</si>
  <si>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</si>
  <si>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</si>
  <si>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</si>
  <si>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</si>
  <si>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</si>
  <si>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</si>
  <si>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</si>
  <si>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</si>
  <si>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</si>
  <si>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</si>
  <si>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</si>
  <si>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</si>
  <si>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</si>
  <si>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</si>
  <si>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</si>
  <si>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</si>
  <si>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</si>
  <si>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</si>
  <si>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</si>
  <si>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</si>
  <si>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</si>
  <si>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</si>
  <si>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</si>
  <si>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</si>
  <si>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</si>
  <si>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</si>
  <si>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</si>
  <si>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</si>
  <si>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</si>
  <si>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</si>
  <si>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</si>
  <si>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</si>
  <si>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</si>
  <si>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</si>
  <si>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</si>
  <si>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</si>
  <si>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</si>
  <si>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</si>
  <si>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</si>
  <si>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</si>
  <si>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</si>
  <si>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</si>
  <si>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</si>
  <si>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</si>
  <si>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</si>
  <si>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</si>
  <si>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</si>
  <si>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</si>
  <si>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</si>
  <si>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</si>
  <si>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</si>
  <si>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</si>
  <si>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</si>
  <si>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</si>
  <si>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</si>
  <si>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</si>
  <si>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</si>
  <si>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</si>
  <si>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</si>
  <si>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</si>
  <si>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</si>
  <si>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</si>
  <si>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</si>
  <si>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</si>
  <si>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</si>
  <si>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</si>
  <si>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</si>
  <si>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</si>
  <si>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</si>
  <si>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</si>
  <si>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</si>
  <si>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</si>
  <si>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</si>
  <si>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</si>
  <si>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</si>
  <si>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</si>
  <si>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</si>
  <si>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</si>
  <si>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</si>
  <si>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</si>
  <si>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</si>
  <si>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</si>
  <si>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</si>
  <si>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</si>
  <si>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</si>
  <si>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</si>
  <si>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</si>
  <si>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</si>
  <si>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</si>
  <si>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</si>
  <si>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</si>
  <si>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</si>
  <si>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</si>
  <si>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</si>
  <si>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</si>
  <si>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</si>
  <si>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</si>
  <si>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</si>
  <si>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</si>
  <si>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</si>
  <si>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</si>
  <si>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</si>
  <si>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</si>
  <si>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</si>
  <si>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</si>
  <si>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</si>
  <si>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</si>
  <si>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</si>
  <si>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</si>
  <si>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</si>
  <si>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</si>
  <si>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</si>
  <si>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</si>
  <si>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</si>
  <si>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</si>
  <si>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</si>
  <si>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</si>
  <si>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</si>
  <si>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</si>
  <si>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</si>
  <si>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</si>
  <si>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</si>
  <si>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</si>
  <si>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</si>
  <si>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</si>
  <si>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</si>
  <si>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</si>
  <si>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</si>
  <si>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</si>
  <si>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</si>
  <si>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</si>
  <si>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</si>
  <si>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</si>
  <si>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</si>
  <si>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</si>
  <si>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</si>
  <si>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</si>
  <si>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</si>
  <si>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</si>
  <si>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</si>
  <si>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</si>
  <si>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</si>
  <si>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</si>
  <si>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</si>
  <si>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</si>
  <si>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</si>
  <si>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</si>
  <si>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</si>
  <si>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</si>
  <si>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</si>
  <si>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</si>
  <si>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</si>
  <si>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</si>
  <si>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</si>
  <si>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</si>
  <si>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</si>
  <si>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</si>
  <si>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</si>
  <si>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</si>
  <si>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</si>
  <si>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</si>
  <si>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</si>
  <si>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</si>
  <si>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</si>
  <si>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</si>
  <si>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</si>
  <si>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</si>
  <si>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</si>
  <si>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</si>
  <si>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</si>
  <si>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</si>
  <si>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</si>
  <si>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</si>
  <si>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</si>
  <si>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</si>
  <si>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</si>
  <si>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</si>
  <si>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</si>
  <si>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</si>
  <si>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</si>
  <si>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</si>
  <si>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</si>
  <si>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</si>
  <si>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</si>
  <si>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</si>
  <si>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</si>
  <si>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</si>
  <si>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</si>
  <si>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</si>
  <si>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</si>
  <si>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</si>
  <si>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</si>
  <si>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</si>
  <si>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</si>
  <si>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</si>
  <si>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</si>
  <si>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</si>
  <si>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</si>
  <si>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</si>
  <si>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</si>
  <si>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</si>
  <si>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</si>
  <si>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</si>
  <si>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</si>
  <si>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</si>
  <si>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</si>
  <si>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</si>
  <si>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</si>
  <si>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</si>
  <si>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</si>
  <si>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</si>
  <si>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</si>
  <si>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</si>
  <si>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</si>
  <si>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</si>
  <si>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</si>
  <si>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</si>
  <si>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</si>
  <si>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</si>
  <si>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</si>
  <si>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</si>
  <si>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</si>
  <si>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</si>
  <si>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</si>
  <si>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</si>
  <si>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</si>
  <si>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</si>
  <si>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</si>
  <si>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</si>
  <si>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</si>
  <si>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</si>
  <si>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</si>
  <si>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</si>
  <si>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</si>
  <si>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</si>
  <si>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</si>
  <si>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</si>
  <si>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</si>
  <si>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</si>
  <si>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</si>
  <si>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</si>
  <si>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</si>
  <si>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</si>
  <si>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</si>
  <si>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</si>
  <si>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</si>
  <si>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</si>
  <si>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</si>
  <si>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</si>
  <si>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</si>
  <si>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</si>
  <si>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</si>
  <si>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</si>
  <si>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</si>
  <si>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</si>
  <si>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</si>
  <si>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</si>
  <si>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</si>
  <si>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</si>
  <si>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</si>
  <si>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</si>
  <si>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</si>
  <si>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</si>
  <si>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</si>
  <si>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</si>
  <si>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</si>
  <si>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</si>
  <si>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</si>
  <si>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</si>
  <si>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</si>
  <si>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</si>
  <si>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</si>
  <si>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</si>
  <si>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</si>
  <si>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</si>
  <si>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</si>
  <si>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</si>
  <si>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</si>
  <si>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</si>
  <si>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</si>
  <si>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</si>
  <si>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</si>
  <si>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</si>
  <si>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</si>
  <si>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</si>
  <si>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</si>
  <si>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</si>
  <si>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</si>
  <si>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</si>
  <si>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</si>
  <si>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</si>
  <si>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</si>
  <si>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</si>
  <si>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</si>
  <si>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</si>
  <si>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</si>
  <si>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</si>
  <si>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</si>
  <si>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</si>
  <si>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</si>
  <si>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</si>
  <si>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</si>
  <si>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</si>
  <si>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</si>
  <si>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</si>
  <si>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</si>
  <si>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</si>
  <si>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</si>
  <si>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</si>
  <si>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</si>
  <si>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</si>
  <si>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</si>
  <si>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</si>
  <si>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</si>
  <si>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</si>
  <si>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</si>
  <si>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</si>
  <si>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</si>
  <si>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</si>
  <si>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</si>
  <si>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</si>
  <si>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</si>
  <si>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</si>
  <si>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</si>
  <si>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</si>
  <si>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</si>
  <si>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</si>
  <si>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</si>
  <si>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</si>
  <si>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</si>
  <si>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</si>
  <si>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</si>
  <si>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</si>
  <si>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</si>
  <si>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</si>
  <si>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</si>
  <si>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</si>
  <si>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</si>
  <si>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</si>
  <si>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</si>
  <si>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</si>
  <si>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</si>
  <si>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</si>
  <si>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</si>
  <si>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</si>
  <si>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</si>
  <si>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</si>
  <si>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</si>
  <si>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</si>
  <si>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</si>
  <si>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</si>
  <si>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</si>
  <si>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</si>
  <si>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</si>
  <si>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</si>
  <si>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</si>
  <si>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</si>
  <si>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</si>
  <si>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</si>
  <si>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</si>
  <si>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</si>
  <si>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</si>
  <si>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</si>
  <si>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</si>
  <si>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</si>
  <si>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</si>
  <si>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</si>
  <si>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</si>
  <si>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</si>
  <si>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</si>
  <si>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</si>
  <si>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</si>
  <si>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</si>
  <si>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</si>
  <si>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</si>
  <si>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</si>
  <si>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</si>
  <si>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</si>
  <si>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</si>
  <si>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</si>
  <si>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</si>
  <si>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</si>
  <si>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</si>
  <si>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</si>
  <si>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</si>
  <si>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</si>
  <si>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</si>
  <si>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</si>
  <si>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</si>
  <si>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</si>
  <si>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</si>
  <si>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</si>
  <si>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</si>
  <si>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</si>
  <si>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</si>
  <si>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</si>
  <si>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</si>
  <si>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</si>
  <si>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</si>
  <si>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</si>
  <si>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</si>
  <si>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</si>
  <si>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</si>
  <si>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</si>
  <si>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</si>
  <si>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</si>
  <si>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</si>
  <si>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</si>
  <si>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</si>
  <si>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</si>
  <si>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</si>
  <si>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</si>
  <si>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</si>
  <si>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</si>
  <si>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</si>
  <si>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</si>
  <si>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</si>
  <si>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</si>
  <si>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</si>
  <si>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</si>
  <si>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</si>
  <si>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</si>
  <si>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</si>
  <si>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</si>
  <si>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</si>
  <si>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</si>
  <si>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</si>
  <si>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</si>
  <si>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</si>
  <si>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</si>
  <si>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</si>
  <si>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</si>
  <si>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</si>
  <si>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</si>
  <si>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</si>
  <si>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</si>
  <si>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</si>
  <si>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</si>
  <si>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</si>
  <si>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</si>
  <si>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</si>
  <si>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</si>
  <si>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</si>
  <si>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</si>
  <si>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</si>
  <si>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</si>
  <si>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</si>
  <si>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</si>
  <si>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</si>
  <si>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</si>
  <si>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</si>
  <si>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</si>
  <si>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</si>
  <si>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</si>
  <si>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</si>
  <si>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</si>
  <si>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</si>
  <si>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</si>
  <si>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</si>
  <si>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</si>
  <si>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</si>
  <si>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</si>
  <si>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</si>
  <si>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</si>
  <si>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</si>
  <si>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</si>
  <si>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</si>
  <si>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</si>
  <si>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</si>
  <si>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</si>
  <si>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</si>
  <si>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</si>
  <si>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</si>
  <si>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</si>
  <si>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</si>
  <si>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</si>
  <si>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</si>
  <si>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</si>
  <si>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</si>
  <si>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</si>
  <si>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</si>
  <si>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</si>
  <si>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</si>
  <si>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</si>
  <si>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</si>
  <si>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</si>
  <si>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</si>
  <si>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</si>
  <si>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</si>
  <si>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</si>
  <si>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</si>
  <si>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</si>
  <si>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</si>
  <si>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</si>
  <si>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</si>
  <si>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</si>
  <si>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</si>
  <si>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</si>
  <si>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</si>
  <si>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</si>
  <si>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</si>
  <si>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</si>
  <si>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</si>
  <si>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</si>
  <si>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</si>
  <si>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</si>
  <si>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</si>
  <si>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</si>
  <si>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</si>
  <si>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</si>
  <si>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</si>
  <si>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</si>
  <si>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</si>
  <si>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</si>
  <si>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</si>
  <si>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</si>
  <si>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</si>
  <si>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</si>
  <si>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</si>
  <si>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</si>
  <si>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</si>
  <si>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</si>
  <si>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</si>
  <si>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</si>
  <si>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</si>
  <si>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</si>
  <si>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</si>
  <si>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</si>
  <si>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</si>
  <si>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</si>
  <si>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</si>
  <si>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</si>
  <si>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</si>
  <si>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</si>
  <si>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</si>
  <si>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</si>
  <si>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</si>
  <si>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</si>
  <si>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</si>
  <si>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</si>
  <si>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</si>
  <si>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</si>
  <si>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</si>
  <si>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</si>
  <si>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</si>
  <si>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</si>
  <si>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</si>
  <si>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</si>
  <si>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</si>
  <si>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</si>
  <si>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</si>
  <si>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</si>
  <si>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</si>
  <si>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</si>
  <si>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</si>
  <si>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</si>
  <si>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</si>
  <si>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</si>
  <si>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</si>
  <si>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</si>
  <si>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</si>
  <si>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</si>
  <si>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</si>
  <si>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</si>
  <si>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</si>
  <si>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</si>
  <si>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</si>
  <si>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</si>
  <si>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</si>
  <si>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</si>
  <si>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</si>
  <si>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</si>
  <si>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</si>
  <si>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</si>
  <si>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</si>
  <si>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</si>
  <si>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</si>
  <si>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</si>
  <si>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</si>
  <si>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</si>
  <si>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</si>
  <si>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</si>
  <si>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</si>
  <si>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</si>
  <si>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</si>
  <si>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</si>
  <si>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</si>
  <si>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</si>
  <si>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</si>
  <si>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</si>
  <si>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</si>
  <si>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</si>
  <si>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</si>
  <si>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</si>
  <si>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</si>
  <si>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</si>
  <si>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</si>
  <si>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</si>
  <si>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</si>
  <si>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</si>
  <si>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</si>
  <si>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</si>
  <si>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</si>
  <si>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</si>
  <si>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</si>
  <si>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</si>
  <si>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</si>
  <si>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</si>
  <si>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</si>
  <si>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</si>
  <si>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</si>
  <si>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</si>
  <si>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</si>
  <si>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</si>
  <si>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</si>
  <si>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</si>
  <si>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</si>
  <si>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</si>
  <si>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</si>
  <si>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</si>
  <si>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</si>
  <si>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</si>
  <si>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</si>
  <si>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</si>
  <si>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</si>
  <si>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</si>
  <si>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</si>
  <si>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</si>
  <si>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</si>
  <si>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</si>
  <si>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</si>
  <si>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</si>
  <si>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</si>
  <si>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</si>
  <si>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</si>
  <si>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</si>
  <si>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</si>
  <si>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</si>
  <si>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</si>
  <si>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</si>
  <si>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</si>
  <si>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</si>
  <si>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</si>
  <si>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</si>
  <si>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</si>
  <si>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</si>
  <si>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</si>
  <si>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</si>
  <si>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</si>
  <si>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</si>
  <si>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</si>
  <si>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</si>
  <si>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</si>
  <si>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</si>
  <si>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</si>
  <si>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</si>
  <si>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</si>
  <si>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</si>
  <si>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</si>
  <si>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</si>
  <si>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</si>
  <si>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</si>
  <si>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</si>
  <si>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</si>
  <si>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</si>
  <si>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</si>
  <si>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</si>
  <si>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</si>
  <si>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</si>
  <si>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</si>
  <si>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</si>
  <si>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</si>
  <si>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</si>
  <si>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</si>
  <si>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</si>
  <si>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</si>
  <si>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</si>
  <si>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</si>
  <si>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</si>
  <si>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</si>
  <si>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</si>
  <si>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</si>
  <si>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</si>
  <si>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</si>
  <si>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</si>
  <si>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</si>
  <si>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</si>
  <si>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</si>
  <si>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</si>
  <si>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</si>
  <si>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</si>
  <si>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</si>
  <si>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</si>
  <si>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</si>
  <si>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</si>
  <si>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</si>
  <si>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</si>
  <si>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</si>
  <si>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</si>
  <si>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</si>
  <si>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</si>
  <si>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</si>
  <si>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</si>
  <si>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</si>
  <si>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</si>
  <si>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</si>
  <si>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</si>
  <si>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</si>
  <si>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</si>
  <si>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</si>
  <si>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</si>
  <si>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</si>
  <si>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</si>
  <si>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</si>
  <si>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</si>
  <si>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</si>
  <si>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</si>
  <si>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</si>
  <si>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</si>
  <si>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</si>
  <si>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</si>
  <si>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</si>
  <si>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</si>
  <si>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</si>
  <si>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</si>
  <si>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</si>
  <si>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</si>
  <si>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</si>
  <si>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</si>
  <si>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</si>
  <si>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</si>
  <si>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</si>
  <si>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</si>
  <si>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</si>
  <si>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</si>
  <si>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</si>
  <si>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</si>
  <si>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</si>
  <si>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</si>
  <si>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</si>
  <si>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</si>
  <si>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</si>
  <si>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</si>
  <si>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</si>
  <si>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</si>
  <si>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</si>
  <si>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</si>
  <si>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</si>
  <si>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</si>
  <si>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</si>
  <si>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</si>
  <si>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</si>
  <si>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</si>
  <si>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</si>
  <si>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</si>
  <si>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</si>
  <si>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</si>
  <si>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</si>
  <si>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</si>
  <si>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</si>
  <si>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</si>
  <si>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</si>
  <si>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</si>
  <si>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</si>
  <si>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</si>
  <si>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</si>
  <si>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</si>
  <si>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</si>
  <si>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</si>
  <si>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</si>
  <si>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</si>
  <si>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</si>
  <si>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</si>
  <si>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</si>
  <si>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</si>
  <si>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</si>
  <si>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</si>
  <si>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</si>
  <si>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</si>
  <si>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</si>
  <si>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</si>
  <si>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</si>
  <si>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</si>
  <si>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</si>
  <si>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</si>
  <si>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</si>
  <si>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</si>
  <si>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</si>
  <si>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</si>
  <si>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</si>
  <si>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</si>
  <si>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</si>
  <si>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</si>
  <si>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</si>
  <si>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</si>
  <si>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</si>
  <si>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</si>
  <si>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</si>
  <si>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</si>
  <si>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</si>
  <si>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</si>
  <si>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</si>
  <si>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</si>
  <si>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</si>
  <si>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</si>
  <si>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</si>
  <si>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</si>
  <si>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</si>
  <si>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</si>
  <si>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</si>
  <si>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</si>
  <si>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</si>
  <si>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</si>
  <si>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</si>
  <si>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</si>
  <si>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</si>
  <si>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</si>
  <si>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</si>
  <si>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</si>
  <si>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</si>
  <si>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</si>
  <si>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</si>
  <si>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</si>
  <si>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</si>
  <si>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</si>
  <si>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</si>
  <si>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</si>
  <si>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</si>
  <si>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</si>
  <si>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</si>
  <si>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</si>
  <si>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</si>
  <si>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</si>
  <si>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</si>
  <si>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</si>
  <si>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</si>
  <si>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</si>
  <si>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</si>
  <si>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</si>
  <si>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</si>
  <si>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</si>
  <si>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</si>
  <si>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</si>
  <si>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</si>
  <si>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</si>
  <si>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</si>
  <si>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</si>
  <si>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</si>
  <si>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</si>
  <si>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</si>
  <si>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</si>
  <si>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</si>
  <si>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</si>
  <si>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</si>
  <si>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</si>
  <si>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</si>
  <si>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</si>
  <si>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</si>
  <si>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</si>
  <si>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</si>
  <si>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</si>
  <si>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</si>
  <si>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</si>
  <si>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</si>
  <si>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</si>
  <si>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</si>
  <si>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</si>
  <si>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</si>
  <si>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</si>
  <si>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</si>
  <si>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</si>
  <si>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</si>
  <si>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</si>
  <si>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</si>
  <si>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</si>
  <si>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</si>
  <si>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</si>
  <si>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</si>
  <si>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</si>
  <si>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</si>
  <si>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</si>
  <si>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</si>
  <si>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</si>
  <si>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</si>
  <si>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</si>
  <si>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</si>
  <si>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</si>
  <si>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</si>
  <si>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</si>
  <si>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</si>
  <si>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</si>
  <si>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</si>
  <si>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</si>
  <si>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</si>
  <si>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</si>
  <si>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</si>
  <si>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</si>
  <si>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</si>
  <si>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</si>
  <si>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</si>
  <si>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</si>
  <si>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</si>
  <si>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</si>
  <si>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</si>
  <si>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</si>
  <si>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</si>
  <si>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</si>
  <si>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</si>
  <si>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</si>
  <si>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</si>
  <si>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</si>
  <si>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</si>
  <si>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</si>
  <si>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</si>
  <si>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</si>
  <si>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</si>
  <si>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</si>
  <si>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</si>
  <si>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</si>
  <si>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</si>
  <si>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</si>
  <si>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</si>
  <si>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</si>
  <si>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</si>
  <si>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</si>
  <si>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</si>
  <si>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</si>
  <si>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</si>
  <si>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</si>
  <si>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</si>
  <si>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</si>
  <si>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</si>
  <si>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</si>
  <si>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</si>
  <si>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</si>
  <si>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</si>
  <si>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</si>
  <si>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</si>
  <si>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</si>
  <si>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</si>
  <si>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</si>
  <si>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</si>
  <si>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</si>
  <si>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</si>
  <si>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</si>
  <si>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</si>
  <si>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</si>
  <si>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</si>
  <si>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</si>
  <si>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</si>
  <si>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</si>
  <si>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</si>
  <si>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</si>
  <si>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</si>
  <si>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</si>
  <si>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</si>
  <si>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</si>
  <si>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</si>
  <si>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</si>
  <si>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</si>
  <si>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</si>
  <si>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</si>
  <si>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</si>
  <si>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</si>
  <si>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</si>
  <si>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</si>
  <si>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</si>
  <si>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</si>
  <si>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</si>
  <si>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</si>
  <si>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</si>
  <si>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</si>
  <si>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</si>
  <si>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</si>
  <si>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</si>
  <si>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</si>
  <si>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</si>
  <si>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</si>
  <si>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</si>
  <si>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</si>
  <si>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</si>
  <si>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</si>
  <si>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</si>
  <si>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</si>
  <si>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</si>
  <si>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</si>
  <si>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</si>
  <si>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</si>
  <si>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</si>
  <si>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</si>
  <si>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</si>
  <si>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</si>
  <si>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</si>
  <si>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</si>
  <si>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</si>
  <si>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</si>
  <si>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</si>
  <si>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</si>
  <si>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</si>
  <si>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</si>
  <si>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</si>
  <si>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</si>
  <si>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</si>
  <si>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</si>
  <si>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</si>
  <si>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</si>
  <si>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</si>
  <si>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</si>
  <si>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</si>
  <si>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</si>
  <si>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</si>
  <si>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</si>
  <si>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</si>
  <si>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</si>
  <si>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</si>
  <si>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</si>
  <si>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</si>
  <si>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</si>
  <si>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</si>
  <si>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</si>
  <si>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</si>
  <si>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</si>
  <si>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</si>
  <si>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</si>
  <si>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</si>
  <si>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</si>
  <si>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</si>
  <si>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</si>
  <si>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</si>
  <si>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</si>
  <si>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</si>
  <si>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</si>
  <si>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</si>
  <si>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</si>
  <si>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</si>
  <si>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</si>
  <si>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</si>
  <si>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</si>
  <si>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</si>
  <si>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</si>
  <si>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</si>
  <si>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</si>
  <si>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</si>
  <si>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</si>
  <si>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</si>
  <si>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</si>
  <si>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</si>
  <si>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</si>
  <si>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</si>
  <si>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</si>
  <si>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</si>
  <si>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</si>
  <si>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</si>
  <si>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</si>
  <si>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</si>
  <si>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</si>
  <si>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</si>
  <si>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</si>
  <si>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</si>
  <si>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</si>
  <si>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</si>
  <si>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</si>
  <si>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</si>
  <si>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</si>
  <si>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</si>
  <si>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</si>
  <si>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</si>
  <si>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</si>
  <si>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</si>
  <si>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</si>
  <si>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</si>
  <si>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</si>
  <si>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</si>
  <si>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</si>
  <si>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</si>
  <si>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</si>
  <si>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</si>
  <si>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</si>
  <si>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</si>
  <si>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</si>
  <si>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</si>
  <si>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</si>
  <si>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</si>
  <si>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</si>
  <si>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</si>
  <si>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</si>
  <si>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</si>
  <si>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</si>
  <si>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</si>
  <si>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</si>
  <si>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</si>
  <si>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</si>
  <si>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</si>
  <si>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</si>
  <si>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</si>
  <si>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</si>
  <si>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</si>
  <si>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</si>
  <si>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</si>
  <si>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</si>
  <si>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</si>
  <si>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</si>
  <si>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</si>
  <si>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</si>
  <si>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</si>
  <si>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</si>
  <si>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</si>
  <si>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</si>
  <si>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</si>
  <si>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</si>
  <si>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</si>
  <si>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</si>
  <si>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</si>
  <si>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</si>
  <si>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</si>
  <si>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</si>
  <si>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</si>
  <si>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</si>
  <si>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</si>
  <si>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</si>
  <si>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</si>
  <si>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</si>
  <si>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</si>
  <si>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</si>
  <si>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</si>
  <si>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</si>
  <si>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</si>
  <si>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</si>
  <si>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</si>
  <si>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</si>
  <si>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</si>
  <si>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</si>
  <si>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</si>
  <si>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</si>
  <si>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</si>
  <si>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</si>
  <si>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</si>
  <si>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</si>
  <si>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</si>
  <si>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</si>
  <si>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</si>
  <si>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</si>
  <si>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</si>
  <si>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</si>
  <si>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</si>
  <si>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</si>
  <si>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</si>
  <si>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</si>
  <si>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</si>
  <si>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</si>
  <si>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</si>
  <si>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</si>
  <si>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</si>
  <si>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</si>
  <si>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</si>
  <si>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</si>
  <si>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</si>
  <si>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</si>
  <si>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</si>
  <si>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</si>
  <si>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</si>
  <si>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</si>
  <si>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</si>
  <si>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</si>
  <si>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</si>
  <si>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</si>
  <si>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</si>
  <si>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</si>
  <si>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</si>
  <si>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</si>
  <si>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</si>
  <si>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</si>
  <si>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</si>
  <si>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</si>
  <si>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</si>
  <si>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</si>
  <si>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</si>
  <si>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</si>
  <si>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</si>
  <si>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</si>
  <si>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</si>
  <si>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</si>
  <si>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</si>
  <si>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</si>
  <si>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</si>
  <si>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</si>
  <si>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</si>
  <si>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</si>
  <si>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</si>
  <si>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</si>
  <si>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</si>
  <si>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</si>
  <si>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</si>
  <si>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</si>
  <si>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</si>
  <si>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</si>
  <si>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</si>
  <si>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</si>
  <si>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</si>
  <si>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</si>
  <si>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</si>
  <si>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</si>
  <si>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</si>
  <si>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</si>
  <si>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</si>
  <si>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</si>
  <si>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</si>
  <si>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</si>
  <si>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</si>
  <si>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</si>
  <si>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</si>
  <si>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</si>
  <si>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</si>
  <si>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</si>
  <si>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</si>
  <si>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</si>
  <si>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</si>
  <si>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</si>
  <si>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</si>
  <si>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</si>
  <si>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</si>
  <si>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</si>
  <si>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</si>
  <si>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</si>
  <si>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</si>
  <si>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</si>
  <si>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</si>
  <si>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</si>
  <si>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</si>
  <si>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</si>
  <si>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</si>
  <si>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</si>
  <si>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</si>
  <si>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</si>
  <si>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</si>
  <si>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</si>
  <si>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</si>
  <si>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</si>
  <si>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</si>
  <si>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</si>
  <si>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</si>
  <si>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</si>
  <si>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</si>
  <si>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</si>
  <si>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</si>
  <si>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</si>
  <si>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</si>
  <si>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</si>
  <si>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</si>
  <si>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</si>
  <si>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</si>
  <si>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</si>
  <si>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</si>
  <si>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</si>
  <si>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</si>
  <si>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</si>
  <si>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</si>
  <si>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</si>
  <si>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</si>
  <si>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</si>
  <si>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</si>
  <si>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</si>
  <si>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</si>
  <si>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</si>
  <si>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</si>
  <si>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</si>
  <si>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</si>
  <si>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</si>
  <si>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</si>
  <si>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</si>
  <si>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</si>
  <si>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</si>
  <si>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</si>
  <si>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</si>
  <si>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</si>
  <si>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</si>
  <si>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</si>
  <si>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</si>
  <si>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</si>
  <si>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</si>
  <si>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</si>
  <si>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</si>
  <si>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</si>
  <si>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</si>
  <si>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</si>
  <si>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</si>
  <si>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</si>
  <si>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</si>
  <si>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</si>
  <si>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</si>
  <si>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</si>
  <si>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</si>
  <si>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</si>
  <si>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</si>
  <si>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</si>
  <si>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</si>
  <si>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</si>
  <si>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</si>
  <si>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</si>
  <si>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</si>
  <si>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</si>
  <si>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</si>
  <si>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</si>
  <si>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</si>
  <si>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</si>
  <si>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</si>
  <si>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</si>
  <si>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</si>
  <si>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</si>
  <si>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</si>
  <si>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</si>
  <si>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</si>
  <si>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</si>
  <si>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</si>
  <si>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</si>
  <si>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</si>
  <si>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</si>
  <si>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</si>
  <si>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</si>
  <si>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</si>
  <si>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</si>
  <si>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</si>
  <si>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</si>
  <si>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</si>
  <si>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</si>
  <si>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</si>
  <si>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</si>
  <si>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</si>
  <si>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</si>
  <si>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</si>
  <si>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</si>
  <si>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</si>
  <si>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</si>
  <si>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</si>
  <si>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</si>
  <si>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</si>
  <si>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</si>
  <si>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</si>
  <si>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</si>
  <si>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</si>
  <si>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</si>
  <si>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</si>
  <si>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</si>
  <si>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</si>
  <si>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</si>
  <si>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</si>
  <si>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</si>
  <si>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</si>
  <si>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</si>
  <si>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</si>
  <si>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</si>
  <si>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</si>
  <si>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</si>
  <si>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</si>
  <si>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</si>
  <si>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</si>
  <si>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</si>
  <si>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</si>
  <si>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</si>
  <si>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</si>
  <si>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</si>
  <si>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</si>
  <si>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</si>
  <si>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</si>
  <si>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</si>
  <si>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</si>
  <si>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</si>
  <si>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</si>
  <si>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</si>
  <si>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</si>
  <si>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</si>
  <si>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</si>
  <si>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</si>
  <si>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</si>
  <si>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</si>
  <si>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</si>
  <si>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</si>
  <si>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</si>
  <si>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</si>
  <si>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</si>
  <si>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</si>
  <si>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</si>
  <si>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</si>
  <si>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</si>
  <si>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</si>
  <si>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</si>
  <si>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</si>
  <si>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</si>
  <si>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</si>
  <si>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</si>
  <si>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</si>
  <si>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</si>
  <si>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</si>
  <si>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</si>
  <si>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</si>
  <si>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</si>
  <si>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</si>
  <si>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</si>
  <si>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</si>
  <si>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</si>
  <si>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</si>
  <si>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</si>
  <si>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</si>
  <si>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</si>
  <si>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</si>
  <si>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</si>
  <si>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</si>
  <si>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</si>
  <si>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</si>
  <si>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</si>
  <si>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</si>
  <si>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</si>
  <si>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</si>
  <si>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</si>
  <si>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</si>
  <si>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</si>
  <si>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</si>
  <si>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</si>
  <si>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</si>
  <si>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</si>
  <si>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</si>
  <si>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</si>
  <si>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</si>
  <si>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</si>
  <si>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</si>
  <si>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</si>
  <si>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</si>
  <si>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</si>
  <si>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</si>
  <si>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</si>
  <si>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</si>
  <si>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</si>
  <si>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</si>
  <si>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</si>
  <si>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</si>
  <si>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</si>
  <si>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</si>
  <si>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</si>
  <si>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</si>
  <si>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</si>
  <si>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</si>
  <si>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</si>
  <si>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</si>
  <si>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</si>
  <si>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</si>
  <si>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</si>
  <si>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</si>
  <si>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</si>
  <si>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</si>
  <si>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</si>
  <si>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</si>
  <si>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</si>
  <si>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</si>
  <si>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</si>
  <si>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</si>
  <si>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</si>
  <si>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</si>
  <si>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</si>
  <si>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</si>
  <si>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</si>
  <si>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</si>
  <si>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</si>
  <si>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</si>
  <si>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</si>
  <si>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</si>
  <si>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</si>
  <si>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</si>
  <si>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</si>
  <si>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</si>
  <si>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</si>
  <si>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</si>
  <si>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</si>
  <si>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</si>
  <si>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</si>
  <si>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</si>
  <si>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</si>
  <si>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</si>
  <si>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</si>
  <si>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</si>
  <si>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</si>
  <si>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</si>
  <si>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</si>
  <si>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</si>
  <si>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</si>
  <si>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</si>
  <si>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</si>
  <si>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</si>
  <si>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</si>
  <si>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</si>
  <si>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</si>
  <si>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</si>
  <si>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</si>
  <si>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</si>
  <si>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</si>
  <si>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</si>
  <si>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</si>
  <si>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</si>
  <si>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</si>
  <si>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</si>
  <si>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</si>
  <si>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</si>
  <si>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</si>
  <si>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</si>
  <si>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</si>
  <si>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</si>
  <si>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</si>
  <si>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</si>
  <si>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</si>
  <si>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</si>
  <si>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</si>
  <si>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</si>
  <si>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</si>
  <si>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</si>
  <si>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</si>
  <si>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</si>
  <si>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</si>
  <si>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</si>
  <si>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</si>
  <si>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</si>
  <si>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</si>
  <si>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</si>
  <si>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</si>
  <si>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</si>
  <si>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</si>
  <si>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</si>
  <si>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</si>
  <si>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</si>
  <si>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</si>
  <si>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</si>
  <si>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</si>
  <si>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</si>
  <si>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</si>
  <si>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</si>
  <si>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</si>
  <si>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</si>
  <si>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</si>
  <si>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</si>
  <si>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</si>
  <si>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</si>
  <si>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</si>
  <si>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</si>
  <si>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</si>
  <si>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</si>
  <si>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</si>
  <si>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</si>
  <si>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</si>
  <si>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</si>
  <si>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</si>
  <si>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</si>
  <si>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</si>
  <si>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</si>
  <si>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</si>
  <si>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</si>
  <si>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</si>
  <si>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</si>
  <si>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</si>
  <si>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</si>
  <si>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</si>
  <si>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</si>
  <si>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</si>
  <si>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</si>
  <si>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</si>
  <si>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</si>
  <si>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</si>
  <si>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</si>
  <si>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</si>
  <si>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</si>
  <si>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</si>
  <si>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</si>
  <si>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</si>
  <si>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</si>
  <si>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</si>
  <si>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</si>
  <si>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</si>
  <si>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</si>
  <si>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</si>
  <si>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</si>
  <si>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</si>
  <si>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</si>
  <si>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</si>
  <si>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</si>
  <si>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</si>
  <si>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</si>
  <si>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</si>
  <si>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</si>
  <si>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</si>
  <si>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</si>
  <si>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</si>
  <si>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</si>
  <si>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</si>
  <si>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</si>
  <si>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</si>
  <si>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</si>
  <si>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</si>
  <si>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</si>
  <si>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</si>
  <si>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</si>
  <si>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</si>
  <si>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</si>
  <si>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</si>
  <si>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</si>
  <si>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</si>
  <si>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</si>
  <si>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</si>
  <si>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</si>
  <si>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</si>
  <si>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</si>
  <si>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</si>
  <si>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</si>
  <si>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</si>
  <si>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</si>
  <si>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</si>
  <si>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</si>
  <si>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</si>
  <si>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</si>
  <si>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</si>
  <si>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</si>
  <si>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</si>
  <si>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</si>
  <si>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</si>
  <si>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</si>
  <si>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</si>
  <si>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</si>
  <si>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</si>
  <si>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</si>
  <si>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</si>
  <si>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</si>
  <si>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</si>
  <si>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</si>
  <si>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</si>
  <si>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</si>
  <si>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</si>
  <si>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</si>
  <si>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</si>
  <si>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</si>
  <si>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</si>
  <si>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Mass / Volume</t>
  </si>
  <si>
    <t>Masse / Volume</t>
  </si>
  <si>
    <t>Massa / Volume</t>
  </si>
  <si>
    <t>Masa / Volumen</t>
  </si>
  <si>
    <t xml:space="preserve">Masowa / Objętość </t>
  </si>
  <si>
    <t>77-93</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</si>
  <si>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</si>
  <si>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</si>
  <si>
    <t>Company XYZ</t>
  </si>
  <si>
    <t>TestCode1234</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</si>
  <si>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</si>
  <si>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</si>
  <si>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</si>
  <si>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</si>
  <si>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</si>
  <si>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</si>
  <si>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</si>
  <si>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</si>
  <si>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</si>
  <si>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</si>
  <si>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</si>
  <si>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</si>
  <si>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</si>
  <si>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</si>
  <si>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</si>
  <si>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</si>
  <si>
    <t>Italian - Reviewed translation by Italian Standard Setter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</si>
</sst>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3"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family val="2"/>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30">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0" fillId="7" borderId="0" xfId="0" applyFill="1" applyAlignment="1">
      <alignment wrapText="1"/>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7" borderId="46" xfId="0" applyFill="1" applyBorder="1"/>
    <xf numFmtId="0" fontId="0" fillId="7" borderId="5" xfId="0" applyFill="1" applyBorder="1"/>
    <xf numFmtId="0" fontId="0" fillId="7" borderId="53" xfId="0" applyFill="1" applyBorder="1"/>
    <xf numFmtId="0" fontId="0" fillId="16" borderId="71" xfId="0" applyFill="1" applyBorder="1" applyAlignment="1">
      <alignment horizontal="center" vertical="center"/>
    </xf>
    <xf numFmtId="0" fontId="0" fillId="7" borderId="54" xfId="0" applyFill="1" applyBorder="1"/>
    <xf numFmtId="0" fontId="0" fillId="13" borderId="71"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0" fontId="0" fillId="16" borderId="62" xfId="0" applyFill="1" applyBorder="1" applyAlignment="1">
      <alignment horizontal="center"/>
    </xf>
    <xf numFmtId="0" fontId="0" fillId="7" borderId="40" xfId="0" applyFill="1" applyBorder="1"/>
    <xf numFmtId="0" fontId="2" fillId="13"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xf numFmtId="0" fontId="0" fillId="23" borderId="0" xfId="0" applyFill="1"/>
    <xf numFmtId="0" fontId="0" fillId="16" borderId="93" xfId="0" applyFill="1" applyBorder="1" applyAlignment="1" applyProtection="1">
      <alignment horizontal="center"/>
      <protection locked="0"/>
    </xf>
    <xf numFmtId="0" fontId="0" fillId="16" borderId="36" xfId="0" applyFill="1" applyBorder="1" applyAlignment="1" applyProtection="1">
      <alignment horizontal="center"/>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0" fillId="6" borderId="1" xfId="0" applyFill="1" applyBorder="1" applyAlignment="1" applyProtection="1">
      <alignment horizontal="center"/>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9" xfId="0" applyNumberFormat="1" applyFill="1" applyBorder="1" applyAlignment="1">
      <alignment horizontal="right"/>
    </xf>
    <xf numFmtId="2" fontId="0" fillId="13" borderId="20" xfId="0" applyNumberFormat="1" applyFill="1" applyBorder="1" applyAlignment="1">
      <alignment horizontal="righ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6" fillId="0" borderId="48" xfId="3" applyFill="1" applyBorder="1" applyAlignment="1" applyProtection="1">
      <alignment horizontal="center" vertical="center" wrapText="1"/>
    </xf>
    <xf numFmtId="2" fontId="0" fillId="13" borderId="37" xfId="0" applyNumberFormat="1" applyFill="1" applyBorder="1" applyAlignment="1">
      <alignment horizontal="right"/>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4"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15" xfId="0" applyFont="1" applyFill="1" applyBorder="1" applyAlignment="1">
      <alignment horizont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0" fillId="0" borderId="2" xfId="0" applyBorder="1" applyAlignment="1">
      <alignment horizontal="left"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0" fontId="4" fillId="19" borderId="10" xfId="0" applyFont="1" applyFill="1" applyBorder="1" applyAlignment="1">
      <alignment horizontal="left" vertical="center" wrapText="1"/>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1" xfId="0" applyNumberFormat="1" applyFill="1" applyBorder="1" applyAlignment="1">
      <alignment horizontal="right"/>
    </xf>
    <xf numFmtId="0" fontId="2" fillId="0" borderId="1" xfId="0" applyFont="1" applyBorder="1" applyAlignment="1">
      <alignment horizontal="center" vertical="center" wrapText="1"/>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8" xfId="0" applyFill="1" applyBorder="1" applyAlignment="1" applyProtection="1">
      <alignment horizontal="center"/>
      <protection locked="0"/>
    </xf>
    <xf numFmtId="2" fontId="0" fillId="13" borderId="30" xfId="2" applyFont="1" applyFill="1" applyBorder="1" applyAlignment="1">
      <alignment horizontal="right" vertical="center"/>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0" fontId="4" fillId="19" borderId="4" xfId="0" applyFont="1" applyFill="1" applyBorder="1" applyAlignment="1">
      <alignment horizontal="left" vertical="center" wrapText="1"/>
    </xf>
    <xf numFmtId="0" fontId="6" fillId="0" borderId="7" xfId="3" applyFill="1" applyBorder="1" applyAlignment="1" applyProtection="1">
      <alignment horizontal="center" vertical="center"/>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2" fillId="0" borderId="25" xfId="0" applyFont="1" applyBorder="1" applyAlignment="1">
      <alignment horizontal="center" vertical="center" wrapText="1"/>
    </xf>
    <xf numFmtId="0" fontId="2" fillId="0" borderId="0" xfId="0" applyFont="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10" xfId="3" applyFill="1" applyBorder="1" applyAlignment="1" applyProtection="1">
      <alignment horizontal="center" vertical="center" wrapText="1"/>
    </xf>
    <xf numFmtId="0" fontId="6" fillId="0" borderId="64" xfId="3" applyFill="1" applyBorder="1" applyAlignment="1" applyProtection="1">
      <alignment horizontal="center" vertical="center" wrapText="1"/>
    </xf>
    <xf numFmtId="2" fontId="0" fillId="6" borderId="27" xfId="0" applyNumberFormat="1" applyFill="1" applyBorder="1" applyAlignment="1" applyProtection="1">
      <alignment horizontal="right" wrapText="1"/>
      <protection locked="0"/>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6" fillId="0" borderId="64" xfId="3" applyFill="1" applyBorder="1" applyAlignment="1" applyProtection="1">
      <alignment horizontal="center" vertic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2" fontId="0" fillId="13" borderId="14" xfId="0" applyNumberFormat="1" applyFill="1" applyBorder="1" applyAlignment="1">
      <alignment horizontal="right"/>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2" fillId="0" borderId="11" xfId="0" applyFont="1" applyBorder="1" applyAlignment="1">
      <alignment horizontal="center" vertical="center" wrapText="1"/>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0" xfId="0" applyNumberFormat="1" applyFont="1" applyAlignment="1">
      <alignment horizontal="center" vertical="center"/>
    </xf>
    <xf numFmtId="0" fontId="2" fillId="0" borderId="18" xfId="0" applyFont="1" applyBorder="1" applyAlignment="1">
      <alignment horizontal="center" vertical="center" wrapText="1"/>
    </xf>
    <xf numFmtId="0" fontId="0" fillId="0" borderId="18" xfId="0" applyBorder="1" applyAlignment="1" applyProtection="1">
      <alignment horizontal="center"/>
      <protection locked="0"/>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6" borderId="3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0" fillId="6" borderId="20" xfId="0" applyFill="1" applyBorder="1" applyAlignment="1" applyProtection="1">
      <alignment horizontal="left" vertical="top" wrapText="1"/>
      <protection locked="0"/>
    </xf>
    <xf numFmtId="0" fontId="0" fillId="6" borderId="37"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6" fillId="0" borderId="2" xfId="3" applyFill="1" applyBorder="1" applyAlignment="1" applyProtection="1">
      <alignment horizontal="center" vertical="center" wrapText="1"/>
    </xf>
    <xf numFmtId="0" fontId="6" fillId="0" borderId="25" xfId="3" applyFill="1" applyBorder="1" applyAlignment="1">
      <alignment horizontal="center"/>
    </xf>
    <xf numFmtId="0" fontId="6" fillId="0" borderId="26" xfId="3" applyFill="1" applyBorder="1" applyAlignment="1">
      <alignment horizontal="center"/>
    </xf>
    <xf numFmtId="0" fontId="2" fillId="3" borderId="15" xfId="0" applyFont="1" applyFill="1" applyBorder="1" applyAlignment="1">
      <alignment horizontal="center" vertical="center"/>
    </xf>
    <xf numFmtId="0" fontId="2" fillId="3" borderId="59" xfId="0" applyFont="1" applyFill="1" applyBorder="1" applyAlignment="1">
      <alignment horizontal="center" vertical="center"/>
    </xf>
    <xf numFmtId="0" fontId="6" fillId="0" borderId="21" xfId="3" applyFill="1" applyBorder="1" applyAlignment="1" applyProtection="1">
      <alignment horizontal="center" vertical="center" wrapText="1"/>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0" fontId="2" fillId="0" borderId="0" xfId="0" applyFont="1" applyAlignment="1">
      <alignment horizontal="center"/>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40" fillId="7" borderId="28" xfId="0" applyFont="1" applyFill="1" applyBorder="1" applyAlignment="1">
      <alignment horizontal="center" vertical="center"/>
    </xf>
    <xf numFmtId="0" fontId="40" fillId="7" borderId="29" xfId="0" applyFont="1" applyFill="1" applyBorder="1" applyAlignment="1">
      <alignment horizontal="center" vertical="center"/>
    </xf>
    <xf numFmtId="0" fontId="40" fillId="7" borderId="31" xfId="0" applyFont="1" applyFill="1" applyBorder="1" applyAlignment="1">
      <alignment horizontal="center" vertical="center"/>
    </xf>
    <xf numFmtId="0" fontId="40" fillId="7" borderId="25" xfId="0" applyFont="1" applyFill="1" applyBorder="1" applyAlignment="1">
      <alignment horizontal="center" vertical="center"/>
    </xf>
    <xf numFmtId="0" fontId="40" fillId="7" borderId="0" xfId="0" applyFont="1" applyFill="1" applyAlignment="1">
      <alignment horizontal="center" vertical="center"/>
    </xf>
    <xf numFmtId="0" fontId="40" fillId="7" borderId="26" xfId="0" applyFont="1" applyFill="1" applyBorder="1" applyAlignment="1">
      <alignment horizontal="center" vertical="center"/>
    </xf>
    <xf numFmtId="0" fontId="40" fillId="7" borderId="45" xfId="0" applyFont="1" applyFill="1" applyBorder="1" applyAlignment="1">
      <alignment horizontal="center" vertical="center"/>
    </xf>
    <xf numFmtId="0" fontId="40" fillId="7" borderId="22" xfId="0" applyFont="1" applyFill="1" applyBorder="1" applyAlignment="1">
      <alignment horizontal="center" vertical="center"/>
    </xf>
    <xf numFmtId="0" fontId="40"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0" fillId="0" borderId="0" xfId="0" applyAlignment="1">
      <alignment horizontal="left" vertic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6" fillId="0" borderId="6"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0" fillId="0" borderId="1"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6" fillId="0" borderId="40"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6" fillId="0" borderId="5" xfId="3" applyFill="1" applyBorder="1" applyAlignment="1">
      <alignment horizontal="center"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32" fillId="7" borderId="0" xfId="0" applyFont="1" applyFill="1" applyAlignment="1">
      <alignment horizontal="left" wrapText="1"/>
    </xf>
    <xf numFmtId="0" fontId="0" fillId="7" borderId="0" xfId="0" applyFill="1"/>
    <xf numFmtId="0" fontId="36"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52">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bgColor theme="0"/>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C000"/>
      <color rgb="FFFFFF99"/>
      <color rgb="FFB5E6A2"/>
      <color rgb="FFE9713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29" TargetMode="External"/><Relationship Id="rId47" Type="http://schemas.openxmlformats.org/officeDocument/2006/relationships/hyperlink" Target="https://xbrl.efrag.org/eng/interactive/vsme/vsme-standard-annex-i/2025-07-30-ec-rec/56" TargetMode="External"/><Relationship Id="rId63" Type="http://schemas.openxmlformats.org/officeDocument/2006/relationships/hyperlink" Target="https://xbrl.efrag.org/eng/interactive/vsme/vsme-guidance-annex-ii/2025-07-30-ec-rec/150-151" TargetMode="External"/><Relationship Id="rId68" Type="http://schemas.openxmlformats.org/officeDocument/2006/relationships/hyperlink" Target="https://xbrl.efrag.org/eng/interactive/vsme/vsme-guidance-annex-ii/2025-07-30-ec-rec/74-76" TargetMode="External"/><Relationship Id="rId84" Type="http://schemas.openxmlformats.org/officeDocument/2006/relationships/printerSettings" Target="../printerSettings/printerSettings3.bin"/><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esrs/2024-12-17-efrag-vsme.xhtml" TargetMode="External"/><Relationship Id="rId53" Type="http://schemas.openxmlformats.org/officeDocument/2006/relationships/hyperlink" Target="https://xbrl.efrag.org/eng/interactive/vsme/vsme-standard-annex-i/2025-07-30-ec-rec/37"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standard-annex-i/2025-07-30-ec-rec/55" TargetMode="External"/><Relationship Id="rId79" Type="http://schemas.openxmlformats.org/officeDocument/2006/relationships/hyperlink" Target="https://xbrl.efrag.org/eng/interactive/vsme/vsme-guidance-annex-ii/2025-07-30-ec-rec/160-163"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30" TargetMode="External"/><Relationship Id="rId48" Type="http://schemas.openxmlformats.org/officeDocument/2006/relationships/hyperlink" Target="https://xbrl.efrag.org/eng/interactive/vsme/vsme-standard-annex-i/2025-07-30-ec-rec/31" TargetMode="External"/><Relationship Id="rId56" Type="http://schemas.openxmlformats.org/officeDocument/2006/relationships/hyperlink" Target="https://xbrl.efrag.org/eng/interactive/vsme/vsme-standard-annex-i/2025-07-30-ec-rec/10" TargetMode="External"/><Relationship Id="rId64" Type="http://schemas.openxmlformats.org/officeDocument/2006/relationships/hyperlink" Target="https://xbrl.efrag.org/eng/interactive/vsme/vsme-guidance-annex-ii/2025-07-30-ec-rec/159" TargetMode="External"/><Relationship Id="rId69" Type="http://schemas.openxmlformats.org/officeDocument/2006/relationships/hyperlink" Target="https://xbrl.efrag.org/eng/interactive/vsme/vsme-guidance-annex-ii/2025-07-30-ec-rec/77-90" TargetMode="External"/><Relationship Id="rId77" Type="http://schemas.openxmlformats.org/officeDocument/2006/relationships/hyperlink" Target="https://xbrl.efrag.org/eng/interactive/vsme/vsme-guidance-annex-ii/2025-07-30-ec-rec/164-166"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4" TargetMode="External"/><Relationship Id="rId72" Type="http://schemas.openxmlformats.org/officeDocument/2006/relationships/hyperlink" Target="https://xbrl.efrag.org/eng/interactive/vsme/vsme-guidance-annex-ii/2025-07-30-ec-rec/108-109" TargetMode="External"/><Relationship Id="rId80" Type="http://schemas.openxmlformats.org/officeDocument/2006/relationships/hyperlink" Target="https://xbrl.efrag.org/eng/interactive/vsme/vsme-guidance-annex-ii/2025-07-30-ec-rec/164-166" TargetMode="External"/><Relationship Id="rId85" Type="http://schemas.openxmlformats.org/officeDocument/2006/relationships/drawing" Target="../drawings/drawing3.xm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4/e" TargetMode="External"/><Relationship Id="rId59" Type="http://schemas.openxmlformats.org/officeDocument/2006/relationships/hyperlink" Target="https://xbrl.efrag.org/eng/interactive/vsme/vsme-guidance-annex-ii/2025-07-30-ec-rec/26-45" TargetMode="External"/><Relationship Id="rId67" Type="http://schemas.openxmlformats.org/officeDocument/2006/relationships/hyperlink" Target="https://xbrl.efrag.org/eng/interactive/vsme/vsme-guidance-annex-ii/2025-07-30-ec-rec/70-73"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standard-annex-i/2025-07-30-ec-rec/36" TargetMode="External"/><Relationship Id="rId54" Type="http://schemas.openxmlformats.org/officeDocument/2006/relationships/hyperlink" Target="https://xbrl.efrag.org/eng/interactive/vsme/vsme-standard-annex-i/2025-07-30-ec-rec/38/a-b"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4" TargetMode="External"/><Relationship Id="rId75" Type="http://schemas.openxmlformats.org/officeDocument/2006/relationships/hyperlink" Target="https://xbrl.efrag.org/e-esrs/2024-12-17-efrag-vsme.xhtml" TargetMode="External"/><Relationship Id="rId83" Type="http://schemas.openxmlformats.org/officeDocument/2006/relationships/hyperlink" Target="https://xbrl.efrag.org/eng/interactive/vsme/vsme-guidance-annex-ii/2025-07-30-ec-rec/77-93"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ng/interactive/vsme/vsme-standard-annex-i/2025-07-30-ec-rec/54/d" TargetMode="External"/><Relationship Id="rId49" Type="http://schemas.openxmlformats.org/officeDocument/2006/relationships/hyperlink" Target="https://xbrl.efrag.org/eng/interactive/vsme/vsme-standard-annex-i/2025-07-30-ec-rec/32" TargetMode="External"/><Relationship Id="rId57" Type="http://schemas.openxmlformats.org/officeDocument/2006/relationships/hyperlink" Target="https://xbrl.efrag.org/eng/interactive/vsme/vsme-guidance-annex-ii/2025-07-30-ec-rec/18-25"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54/b" TargetMode="External"/><Relationship Id="rId52" Type="http://schemas.openxmlformats.org/officeDocument/2006/relationships/hyperlink" Target="https://xbrl.efrag.org/eng/interactive/vsme/vsme-standard-annex-i/2025-07-30-ec-rec/35" TargetMode="External"/><Relationship Id="rId60" Type="http://schemas.openxmlformats.org/officeDocument/2006/relationships/hyperlink" Target="https://xbrl.efrag.org/eng/interactive/vsme/vsme-guidance-annex-ii/2025-07-30-ec-rec/152-158" TargetMode="External"/><Relationship Id="rId65" Type="http://schemas.openxmlformats.org/officeDocument/2006/relationships/hyperlink" Target="https://knowledgehub.efrag.org/eng/interactive/vsme/vsme-guidance-annex-ii/2025-07-30-ec-rec/160-163" TargetMode="External"/><Relationship Id="rId73" Type="http://schemas.openxmlformats.org/officeDocument/2006/relationships/hyperlink" Target="https://xbrl.efrag.org/eng/interactive/vsme/vsme-standard-annex-i/2025-07-30-ec-rec/55" TargetMode="External"/><Relationship Id="rId78" Type="http://schemas.openxmlformats.org/officeDocument/2006/relationships/hyperlink" Target="https://xbrl.efrag.org/eng/interactive/vsme/vsme-guidance-annex-ii/2025-07-30-ec-rec/160-163" TargetMode="External"/><Relationship Id="rId81" Type="http://schemas.openxmlformats.org/officeDocument/2006/relationships/hyperlink" Target="https://xbrl.efrag.org/eng/interactive/vsme/vsme-guidance-annex-ii/2025-07-30-ec-rec/164-166"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ng/interactive/vsme/vsme-standard-annex-i/2025-07-30-ec-rec/55"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3" TargetMode="External"/><Relationship Id="rId55" Type="http://schemas.openxmlformats.org/officeDocument/2006/relationships/hyperlink" Target="https://xbrl.efrag.org/eng/interactive/vsme/vsme-standard-annex-i/2025-07-30-ec-rec/38/c" TargetMode="External"/><Relationship Id="rId76" Type="http://schemas.openxmlformats.org/officeDocument/2006/relationships/hyperlink" Target="https://xbrl.efrag.org/eng/interactive/vsme/vsme-standard-annex-i/2025-07-30-ec-rec/29"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95-107"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guidance-annex-ii/2025-07-30-ec-rec/160-163" TargetMode="External"/><Relationship Id="rId45" Type="http://schemas.openxmlformats.org/officeDocument/2006/relationships/hyperlink" Target="https://xbrl.efrag.org/eng/interactive/vsme/vsme-standard-annex-i/2025-07-30-ec-rec/50-53" TargetMode="External"/><Relationship Id="rId66" Type="http://schemas.openxmlformats.org/officeDocument/2006/relationships/hyperlink" Target="https://xbrl.efrag.org/eng/interactive/vsme/vsme-guidance-annex-ii/2025-07-30-ec-rec/46-69"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ABF2B-A48D-48A2-AAD7-137D954F82A3}">
  <dimension ref="B1:W32"/>
  <sheetViews>
    <sheetView zoomScale="47" workbookViewId="0"/>
  </sheetViews>
  <sheetFormatPr defaultColWidth="8.88671875" defaultRowHeight="14.4" x14ac:dyDescent="0.3"/>
  <cols>
    <col min="1" max="12" width="8.88671875" style="503"/>
    <col min="13" max="13" width="9.21875" style="503" customWidth="1"/>
    <col min="14" max="16384" width="8.88671875" style="503"/>
  </cols>
  <sheetData>
    <row r="1" spans="2:23" ht="15" thickBot="1" x14ac:dyDescent="0.35"/>
    <row r="2" spans="2:23" x14ac:dyDescent="0.3">
      <c r="B2" s="812" t="s">
        <v>9538</v>
      </c>
      <c r="C2" s="813"/>
      <c r="D2" s="813"/>
      <c r="E2" s="813"/>
      <c r="F2" s="813"/>
      <c r="G2" s="813"/>
      <c r="H2" s="813"/>
      <c r="I2" s="813"/>
      <c r="J2" s="813"/>
      <c r="K2" s="813"/>
      <c r="L2" s="813"/>
      <c r="M2" s="813"/>
      <c r="N2" s="813"/>
      <c r="O2" s="813"/>
      <c r="P2" s="813"/>
      <c r="Q2" s="813"/>
      <c r="R2" s="813"/>
      <c r="S2" s="813"/>
      <c r="T2" s="813"/>
      <c r="U2" s="813"/>
      <c r="V2" s="813"/>
      <c r="W2" s="814"/>
    </row>
    <row r="3" spans="2:23" x14ac:dyDescent="0.3">
      <c r="B3" s="815"/>
      <c r="C3" s="816"/>
      <c r="D3" s="816"/>
      <c r="E3" s="816"/>
      <c r="F3" s="816"/>
      <c r="G3" s="816"/>
      <c r="H3" s="816"/>
      <c r="I3" s="816"/>
      <c r="J3" s="816"/>
      <c r="K3" s="816"/>
      <c r="L3" s="816"/>
      <c r="M3" s="816"/>
      <c r="N3" s="816"/>
      <c r="O3" s="816"/>
      <c r="P3" s="816"/>
      <c r="Q3" s="816"/>
      <c r="R3" s="816"/>
      <c r="S3" s="816"/>
      <c r="T3" s="816"/>
      <c r="U3" s="816"/>
      <c r="V3" s="816"/>
      <c r="W3" s="817"/>
    </row>
    <row r="4" spans="2:23" x14ac:dyDescent="0.3">
      <c r="B4" s="815"/>
      <c r="C4" s="816"/>
      <c r="D4" s="816"/>
      <c r="E4" s="816"/>
      <c r="F4" s="816"/>
      <c r="G4" s="816"/>
      <c r="H4" s="816"/>
      <c r="I4" s="816"/>
      <c r="J4" s="816"/>
      <c r="K4" s="816"/>
      <c r="L4" s="816"/>
      <c r="M4" s="816"/>
      <c r="N4" s="816"/>
      <c r="O4" s="816"/>
      <c r="P4" s="816"/>
      <c r="Q4" s="816"/>
      <c r="R4" s="816"/>
      <c r="S4" s="816"/>
      <c r="T4" s="816"/>
      <c r="U4" s="816"/>
      <c r="V4" s="816"/>
      <c r="W4" s="817"/>
    </row>
    <row r="5" spans="2:23" x14ac:dyDescent="0.3">
      <c r="B5" s="815"/>
      <c r="C5" s="816"/>
      <c r="D5" s="816"/>
      <c r="E5" s="816"/>
      <c r="F5" s="816"/>
      <c r="G5" s="816"/>
      <c r="H5" s="816"/>
      <c r="I5" s="816"/>
      <c r="J5" s="816"/>
      <c r="K5" s="816"/>
      <c r="L5" s="816"/>
      <c r="M5" s="816"/>
      <c r="N5" s="816"/>
      <c r="O5" s="816"/>
      <c r="P5" s="816"/>
      <c r="Q5" s="816"/>
      <c r="R5" s="816"/>
      <c r="S5" s="816"/>
      <c r="T5" s="816"/>
      <c r="U5" s="816"/>
      <c r="V5" s="816"/>
      <c r="W5" s="817"/>
    </row>
    <row r="6" spans="2:23" x14ac:dyDescent="0.3">
      <c r="B6" s="815"/>
      <c r="C6" s="816"/>
      <c r="D6" s="816"/>
      <c r="E6" s="816"/>
      <c r="F6" s="816"/>
      <c r="G6" s="816"/>
      <c r="H6" s="816"/>
      <c r="I6" s="816"/>
      <c r="J6" s="816"/>
      <c r="K6" s="816"/>
      <c r="L6" s="816"/>
      <c r="M6" s="816"/>
      <c r="N6" s="816"/>
      <c r="O6" s="816"/>
      <c r="P6" s="816"/>
      <c r="Q6" s="816"/>
      <c r="R6" s="816"/>
      <c r="S6" s="816"/>
      <c r="T6" s="816"/>
      <c r="U6" s="816"/>
      <c r="V6" s="816"/>
      <c r="W6" s="817"/>
    </row>
    <row r="7" spans="2:23" x14ac:dyDescent="0.3">
      <c r="B7" s="815"/>
      <c r="C7" s="816"/>
      <c r="D7" s="816"/>
      <c r="E7" s="816"/>
      <c r="F7" s="816"/>
      <c r="G7" s="816"/>
      <c r="H7" s="816"/>
      <c r="I7" s="816"/>
      <c r="J7" s="816"/>
      <c r="K7" s="816"/>
      <c r="L7" s="816"/>
      <c r="M7" s="816"/>
      <c r="N7" s="816"/>
      <c r="O7" s="816"/>
      <c r="P7" s="816"/>
      <c r="Q7" s="816"/>
      <c r="R7" s="816"/>
      <c r="S7" s="816"/>
      <c r="T7" s="816"/>
      <c r="U7" s="816"/>
      <c r="V7" s="816"/>
      <c r="W7" s="817"/>
    </row>
    <row r="8" spans="2:23" x14ac:dyDescent="0.3">
      <c r="B8" s="815"/>
      <c r="C8" s="816"/>
      <c r="D8" s="816"/>
      <c r="E8" s="816"/>
      <c r="F8" s="816"/>
      <c r="G8" s="816"/>
      <c r="H8" s="816"/>
      <c r="I8" s="816"/>
      <c r="J8" s="816"/>
      <c r="K8" s="816"/>
      <c r="L8" s="816"/>
      <c r="M8" s="816"/>
      <c r="N8" s="816"/>
      <c r="O8" s="816"/>
      <c r="P8" s="816"/>
      <c r="Q8" s="816"/>
      <c r="R8" s="816"/>
      <c r="S8" s="816"/>
      <c r="T8" s="816"/>
      <c r="U8" s="816"/>
      <c r="V8" s="816"/>
      <c r="W8" s="817"/>
    </row>
    <row r="9" spans="2:23" x14ac:dyDescent="0.3">
      <c r="B9" s="815"/>
      <c r="C9" s="816"/>
      <c r="D9" s="816"/>
      <c r="E9" s="816"/>
      <c r="F9" s="816"/>
      <c r="G9" s="816"/>
      <c r="H9" s="816"/>
      <c r="I9" s="816"/>
      <c r="J9" s="816"/>
      <c r="K9" s="816"/>
      <c r="L9" s="816"/>
      <c r="M9" s="816"/>
      <c r="N9" s="816"/>
      <c r="O9" s="816"/>
      <c r="P9" s="816"/>
      <c r="Q9" s="816"/>
      <c r="R9" s="816"/>
      <c r="S9" s="816"/>
      <c r="T9" s="816"/>
      <c r="U9" s="816"/>
      <c r="V9" s="816"/>
      <c r="W9" s="817"/>
    </row>
    <row r="10" spans="2:23" x14ac:dyDescent="0.3">
      <c r="B10" s="815"/>
      <c r="C10" s="816"/>
      <c r="D10" s="816"/>
      <c r="E10" s="816"/>
      <c r="F10" s="816"/>
      <c r="G10" s="816"/>
      <c r="H10" s="816"/>
      <c r="I10" s="816"/>
      <c r="J10" s="816"/>
      <c r="K10" s="816"/>
      <c r="L10" s="816"/>
      <c r="M10" s="816"/>
      <c r="N10" s="816"/>
      <c r="O10" s="816"/>
      <c r="P10" s="816"/>
      <c r="Q10" s="816"/>
      <c r="R10" s="816"/>
      <c r="S10" s="816"/>
      <c r="T10" s="816"/>
      <c r="U10" s="816"/>
      <c r="V10" s="816"/>
      <c r="W10" s="817"/>
    </row>
    <row r="11" spans="2:23" x14ac:dyDescent="0.3">
      <c r="B11" s="815"/>
      <c r="C11" s="816"/>
      <c r="D11" s="816"/>
      <c r="E11" s="816"/>
      <c r="F11" s="816"/>
      <c r="G11" s="816"/>
      <c r="H11" s="816"/>
      <c r="I11" s="816"/>
      <c r="J11" s="816"/>
      <c r="K11" s="816"/>
      <c r="L11" s="816"/>
      <c r="M11" s="816"/>
      <c r="N11" s="816"/>
      <c r="O11" s="816"/>
      <c r="P11" s="816"/>
      <c r="Q11" s="816"/>
      <c r="R11" s="816"/>
      <c r="S11" s="816"/>
      <c r="T11" s="816"/>
      <c r="U11" s="816"/>
      <c r="V11" s="816"/>
      <c r="W11" s="817"/>
    </row>
    <row r="12" spans="2:23" x14ac:dyDescent="0.3">
      <c r="B12" s="815"/>
      <c r="C12" s="816"/>
      <c r="D12" s="816"/>
      <c r="E12" s="816"/>
      <c r="F12" s="816"/>
      <c r="G12" s="816"/>
      <c r="H12" s="816"/>
      <c r="I12" s="816"/>
      <c r="J12" s="816"/>
      <c r="K12" s="816"/>
      <c r="L12" s="816"/>
      <c r="M12" s="816"/>
      <c r="N12" s="816"/>
      <c r="O12" s="816"/>
      <c r="P12" s="816"/>
      <c r="Q12" s="816"/>
      <c r="R12" s="816"/>
      <c r="S12" s="816"/>
      <c r="T12" s="816"/>
      <c r="U12" s="816"/>
      <c r="V12" s="816"/>
      <c r="W12" s="817"/>
    </row>
    <row r="13" spans="2:23" x14ac:dyDescent="0.3">
      <c r="B13" s="815"/>
      <c r="C13" s="816"/>
      <c r="D13" s="816"/>
      <c r="E13" s="816"/>
      <c r="F13" s="816"/>
      <c r="G13" s="816"/>
      <c r="H13" s="816"/>
      <c r="I13" s="816"/>
      <c r="J13" s="816"/>
      <c r="K13" s="816"/>
      <c r="L13" s="816"/>
      <c r="M13" s="816"/>
      <c r="N13" s="816"/>
      <c r="O13" s="816"/>
      <c r="P13" s="816"/>
      <c r="Q13" s="816"/>
      <c r="R13" s="816"/>
      <c r="S13" s="816"/>
      <c r="T13" s="816"/>
      <c r="U13" s="816"/>
      <c r="V13" s="816"/>
      <c r="W13" s="817"/>
    </row>
    <row r="14" spans="2:23" x14ac:dyDescent="0.3">
      <c r="B14" s="815"/>
      <c r="C14" s="816"/>
      <c r="D14" s="816"/>
      <c r="E14" s="816"/>
      <c r="F14" s="816"/>
      <c r="G14" s="816"/>
      <c r="H14" s="816"/>
      <c r="I14" s="816"/>
      <c r="J14" s="816"/>
      <c r="K14" s="816"/>
      <c r="L14" s="816"/>
      <c r="M14" s="816"/>
      <c r="N14" s="816"/>
      <c r="O14" s="816"/>
      <c r="P14" s="816"/>
      <c r="Q14" s="816"/>
      <c r="R14" s="816"/>
      <c r="S14" s="816"/>
      <c r="T14" s="816"/>
      <c r="U14" s="816"/>
      <c r="V14" s="816"/>
      <c r="W14" s="817"/>
    </row>
    <row r="15" spans="2:23" x14ac:dyDescent="0.3">
      <c r="B15" s="815"/>
      <c r="C15" s="816"/>
      <c r="D15" s="816"/>
      <c r="E15" s="816"/>
      <c r="F15" s="816"/>
      <c r="G15" s="816"/>
      <c r="H15" s="816"/>
      <c r="I15" s="816"/>
      <c r="J15" s="816"/>
      <c r="K15" s="816"/>
      <c r="L15" s="816"/>
      <c r="M15" s="816"/>
      <c r="N15" s="816"/>
      <c r="O15" s="816"/>
      <c r="P15" s="816"/>
      <c r="Q15" s="816"/>
      <c r="R15" s="816"/>
      <c r="S15" s="816"/>
      <c r="T15" s="816"/>
      <c r="U15" s="816"/>
      <c r="V15" s="816"/>
      <c r="W15" s="817"/>
    </row>
    <row r="16" spans="2:23" x14ac:dyDescent="0.3">
      <c r="B16" s="815"/>
      <c r="C16" s="816"/>
      <c r="D16" s="816"/>
      <c r="E16" s="816"/>
      <c r="F16" s="816"/>
      <c r="G16" s="816"/>
      <c r="H16" s="816"/>
      <c r="I16" s="816"/>
      <c r="J16" s="816"/>
      <c r="K16" s="816"/>
      <c r="L16" s="816"/>
      <c r="M16" s="816"/>
      <c r="N16" s="816"/>
      <c r="O16" s="816"/>
      <c r="P16" s="816"/>
      <c r="Q16" s="816"/>
      <c r="R16" s="816"/>
      <c r="S16" s="816"/>
      <c r="T16" s="816"/>
      <c r="U16" s="816"/>
      <c r="V16" s="816"/>
      <c r="W16" s="817"/>
    </row>
    <row r="17" spans="2:23" x14ac:dyDescent="0.3">
      <c r="B17" s="815"/>
      <c r="C17" s="816"/>
      <c r="D17" s="816"/>
      <c r="E17" s="816"/>
      <c r="F17" s="816"/>
      <c r="G17" s="816"/>
      <c r="H17" s="816"/>
      <c r="I17" s="816"/>
      <c r="J17" s="816"/>
      <c r="K17" s="816"/>
      <c r="L17" s="816"/>
      <c r="M17" s="816"/>
      <c r="N17" s="816"/>
      <c r="O17" s="816"/>
      <c r="P17" s="816"/>
      <c r="Q17" s="816"/>
      <c r="R17" s="816"/>
      <c r="S17" s="816"/>
      <c r="T17" s="816"/>
      <c r="U17" s="816"/>
      <c r="V17" s="816"/>
      <c r="W17" s="817"/>
    </row>
    <row r="18" spans="2:23" x14ac:dyDescent="0.3">
      <c r="B18" s="815"/>
      <c r="C18" s="816"/>
      <c r="D18" s="816"/>
      <c r="E18" s="816"/>
      <c r="F18" s="816"/>
      <c r="G18" s="816"/>
      <c r="H18" s="816"/>
      <c r="I18" s="816"/>
      <c r="J18" s="816"/>
      <c r="K18" s="816"/>
      <c r="L18" s="816"/>
      <c r="M18" s="816"/>
      <c r="N18" s="816"/>
      <c r="O18" s="816"/>
      <c r="P18" s="816"/>
      <c r="Q18" s="816"/>
      <c r="R18" s="816"/>
      <c r="S18" s="816"/>
      <c r="T18" s="816"/>
      <c r="U18" s="816"/>
      <c r="V18" s="816"/>
      <c r="W18" s="817"/>
    </row>
    <row r="19" spans="2:23" x14ac:dyDescent="0.3">
      <c r="B19" s="815"/>
      <c r="C19" s="816"/>
      <c r="D19" s="816"/>
      <c r="E19" s="816"/>
      <c r="F19" s="816"/>
      <c r="G19" s="816"/>
      <c r="H19" s="816"/>
      <c r="I19" s="816"/>
      <c r="J19" s="816"/>
      <c r="K19" s="816"/>
      <c r="L19" s="816"/>
      <c r="M19" s="816"/>
      <c r="N19" s="816"/>
      <c r="O19" s="816"/>
      <c r="P19" s="816"/>
      <c r="Q19" s="816"/>
      <c r="R19" s="816"/>
      <c r="S19" s="816"/>
      <c r="T19" s="816"/>
      <c r="U19" s="816"/>
      <c r="V19" s="816"/>
      <c r="W19" s="817"/>
    </row>
    <row r="20" spans="2:23" x14ac:dyDescent="0.3">
      <c r="B20" s="815"/>
      <c r="C20" s="816"/>
      <c r="D20" s="816"/>
      <c r="E20" s="816"/>
      <c r="F20" s="816"/>
      <c r="G20" s="816"/>
      <c r="H20" s="816"/>
      <c r="I20" s="816"/>
      <c r="J20" s="816"/>
      <c r="K20" s="816"/>
      <c r="L20" s="816"/>
      <c r="M20" s="816"/>
      <c r="N20" s="816"/>
      <c r="O20" s="816"/>
      <c r="P20" s="816"/>
      <c r="Q20" s="816"/>
      <c r="R20" s="816"/>
      <c r="S20" s="816"/>
      <c r="T20" s="816"/>
      <c r="U20" s="816"/>
      <c r="V20" s="816"/>
      <c r="W20" s="817"/>
    </row>
    <row r="21" spans="2:23" x14ac:dyDescent="0.3">
      <c r="B21" s="815"/>
      <c r="C21" s="816"/>
      <c r="D21" s="816"/>
      <c r="E21" s="816"/>
      <c r="F21" s="816"/>
      <c r="G21" s="816"/>
      <c r="H21" s="816"/>
      <c r="I21" s="816"/>
      <c r="J21" s="816"/>
      <c r="K21" s="816"/>
      <c r="L21" s="816"/>
      <c r="M21" s="816"/>
      <c r="N21" s="816"/>
      <c r="O21" s="816"/>
      <c r="P21" s="816"/>
      <c r="Q21" s="816"/>
      <c r="R21" s="816"/>
      <c r="S21" s="816"/>
      <c r="T21" s="816"/>
      <c r="U21" s="816"/>
      <c r="V21" s="816"/>
      <c r="W21" s="817"/>
    </row>
    <row r="22" spans="2:23" ht="15" thickBot="1" x14ac:dyDescent="0.35">
      <c r="B22" s="818"/>
      <c r="C22" s="819"/>
      <c r="D22" s="819"/>
      <c r="E22" s="819"/>
      <c r="F22" s="819"/>
      <c r="G22" s="819"/>
      <c r="H22" s="819"/>
      <c r="I22" s="819"/>
      <c r="J22" s="819"/>
      <c r="K22" s="819"/>
      <c r="L22" s="819"/>
      <c r="M22" s="819"/>
      <c r="N22" s="819"/>
      <c r="O22" s="819"/>
      <c r="P22" s="819"/>
      <c r="Q22" s="819"/>
      <c r="R22" s="819"/>
      <c r="S22" s="819"/>
      <c r="T22" s="819"/>
      <c r="U22" s="819"/>
      <c r="V22" s="819"/>
      <c r="W22" s="820"/>
    </row>
    <row r="23" spans="2:23" ht="15" thickBot="1" x14ac:dyDescent="0.35"/>
    <row r="24" spans="2:23" x14ac:dyDescent="0.3">
      <c r="B24" s="821" t="s">
        <v>9539</v>
      </c>
      <c r="C24" s="822"/>
      <c r="D24" s="822"/>
      <c r="E24" s="822"/>
      <c r="F24" s="822"/>
      <c r="G24" s="822"/>
      <c r="H24" s="822"/>
      <c r="I24" s="822"/>
      <c r="J24" s="822"/>
      <c r="K24" s="822"/>
      <c r="L24" s="822"/>
      <c r="M24" s="822"/>
      <c r="N24" s="822"/>
      <c r="O24" s="822"/>
      <c r="P24" s="822"/>
      <c r="Q24" s="822"/>
      <c r="R24" s="822"/>
      <c r="S24" s="822"/>
      <c r="T24" s="822"/>
      <c r="U24" s="822"/>
      <c r="V24" s="822"/>
      <c r="W24" s="823"/>
    </row>
    <row r="25" spans="2:23" ht="14.4" customHeight="1" x14ac:dyDescent="0.3">
      <c r="B25" s="824"/>
      <c r="C25" s="825"/>
      <c r="D25" s="825"/>
      <c r="E25" s="825"/>
      <c r="F25" s="825"/>
      <c r="G25" s="825"/>
      <c r="H25" s="825"/>
      <c r="I25" s="825"/>
      <c r="J25" s="825"/>
      <c r="K25" s="825"/>
      <c r="L25" s="825"/>
      <c r="M25" s="825"/>
      <c r="N25" s="825"/>
      <c r="O25" s="825"/>
      <c r="P25" s="825"/>
      <c r="Q25" s="825"/>
      <c r="R25" s="825"/>
      <c r="S25" s="825"/>
      <c r="T25" s="825"/>
      <c r="U25" s="825"/>
      <c r="V25" s="825"/>
      <c r="W25" s="826"/>
    </row>
    <row r="26" spans="2:23" ht="14.4" customHeight="1" x14ac:dyDescent="0.3">
      <c r="B26" s="824"/>
      <c r="C26" s="825"/>
      <c r="D26" s="825"/>
      <c r="E26" s="825"/>
      <c r="F26" s="825"/>
      <c r="G26" s="825"/>
      <c r="H26" s="825"/>
      <c r="I26" s="825"/>
      <c r="J26" s="825"/>
      <c r="K26" s="825"/>
      <c r="L26" s="825"/>
      <c r="M26" s="825"/>
      <c r="N26" s="825"/>
      <c r="O26" s="825"/>
      <c r="P26" s="825"/>
      <c r="Q26" s="825"/>
      <c r="R26" s="825"/>
      <c r="S26" s="825"/>
      <c r="T26" s="825"/>
      <c r="U26" s="825"/>
      <c r="V26" s="825"/>
      <c r="W26" s="826"/>
    </row>
    <row r="27" spans="2:23" ht="14.4" customHeight="1" x14ac:dyDescent="0.3">
      <c r="B27" s="824"/>
      <c r="C27" s="825"/>
      <c r="D27" s="825"/>
      <c r="E27" s="825"/>
      <c r="F27" s="825"/>
      <c r="G27" s="825"/>
      <c r="H27" s="825"/>
      <c r="I27" s="825"/>
      <c r="J27" s="825"/>
      <c r="K27" s="825"/>
      <c r="L27" s="825"/>
      <c r="M27" s="825"/>
      <c r="N27" s="825"/>
      <c r="O27" s="825"/>
      <c r="P27" s="825"/>
      <c r="Q27" s="825"/>
      <c r="R27" s="825"/>
      <c r="S27" s="825"/>
      <c r="T27" s="825"/>
      <c r="U27" s="825"/>
      <c r="V27" s="825"/>
      <c r="W27" s="826"/>
    </row>
    <row r="28" spans="2:23" ht="14.4" customHeight="1" x14ac:dyDescent="0.3">
      <c r="B28" s="824"/>
      <c r="C28" s="825"/>
      <c r="D28" s="825"/>
      <c r="E28" s="825"/>
      <c r="F28" s="825"/>
      <c r="G28" s="825"/>
      <c r="H28" s="825"/>
      <c r="I28" s="825"/>
      <c r="J28" s="825"/>
      <c r="K28" s="825"/>
      <c r="L28" s="825"/>
      <c r="M28" s="825"/>
      <c r="N28" s="825"/>
      <c r="O28" s="825"/>
      <c r="P28" s="825"/>
      <c r="Q28" s="825"/>
      <c r="R28" s="825"/>
      <c r="S28" s="825"/>
      <c r="T28" s="825"/>
      <c r="U28" s="825"/>
      <c r="V28" s="825"/>
      <c r="W28" s="826"/>
    </row>
    <row r="29" spans="2:23" ht="10.8" customHeight="1" x14ac:dyDescent="0.3">
      <c r="B29" s="824"/>
      <c r="C29" s="825"/>
      <c r="D29" s="825"/>
      <c r="E29" s="825"/>
      <c r="F29" s="825"/>
      <c r="G29" s="825"/>
      <c r="H29" s="825"/>
      <c r="I29" s="825"/>
      <c r="J29" s="825"/>
      <c r="K29" s="825"/>
      <c r="L29" s="825"/>
      <c r="M29" s="825"/>
      <c r="N29" s="825"/>
      <c r="O29" s="825"/>
      <c r="P29" s="825"/>
      <c r="Q29" s="825"/>
      <c r="R29" s="825"/>
      <c r="S29" s="825"/>
      <c r="T29" s="825"/>
      <c r="U29" s="825"/>
      <c r="V29" s="825"/>
      <c r="W29" s="826"/>
    </row>
    <row r="30" spans="2:23" ht="14.4" hidden="1" customHeight="1" x14ac:dyDescent="0.3">
      <c r="B30" s="824"/>
      <c r="C30" s="825"/>
      <c r="D30" s="825"/>
      <c r="E30" s="825"/>
      <c r="F30" s="825"/>
      <c r="G30" s="825"/>
      <c r="H30" s="825"/>
      <c r="I30" s="825"/>
      <c r="J30" s="825"/>
      <c r="K30" s="825"/>
      <c r="L30" s="825"/>
      <c r="M30" s="825"/>
      <c r="N30" s="825"/>
      <c r="O30" s="825"/>
      <c r="P30" s="825"/>
      <c r="Q30" s="825"/>
      <c r="R30" s="825"/>
      <c r="S30" s="825"/>
      <c r="T30" s="825"/>
      <c r="U30" s="825"/>
      <c r="V30" s="825"/>
      <c r="W30" s="826"/>
    </row>
    <row r="31" spans="2:23" ht="15" hidden="1" customHeight="1" x14ac:dyDescent="0.3">
      <c r="B31" s="824"/>
      <c r="C31" s="825"/>
      <c r="D31" s="825"/>
      <c r="E31" s="825"/>
      <c r="F31" s="825"/>
      <c r="G31" s="825"/>
      <c r="H31" s="825"/>
      <c r="I31" s="825"/>
      <c r="J31" s="825"/>
      <c r="K31" s="825"/>
      <c r="L31" s="825"/>
      <c r="M31" s="825"/>
      <c r="N31" s="825"/>
      <c r="O31" s="825"/>
      <c r="P31" s="825"/>
      <c r="Q31" s="825"/>
      <c r="R31" s="825"/>
      <c r="S31" s="825"/>
      <c r="T31" s="825"/>
      <c r="U31" s="825"/>
      <c r="V31" s="825"/>
      <c r="W31" s="826"/>
    </row>
    <row r="32" spans="2:23" ht="15" thickBot="1" x14ac:dyDescent="0.35">
      <c r="B32" s="827"/>
      <c r="C32" s="828"/>
      <c r="D32" s="828"/>
      <c r="E32" s="828"/>
      <c r="F32" s="828"/>
      <c r="G32" s="828"/>
      <c r="H32" s="828"/>
      <c r="I32" s="828"/>
      <c r="J32" s="828"/>
      <c r="K32" s="828"/>
      <c r="L32" s="828"/>
      <c r="M32" s="828"/>
      <c r="N32" s="828"/>
      <c r="O32" s="828"/>
      <c r="P32" s="828"/>
      <c r="Q32" s="828"/>
      <c r="R32" s="828"/>
      <c r="S32" s="828"/>
      <c r="T32" s="828"/>
      <c r="U32" s="828"/>
      <c r="V32" s="828"/>
      <c r="W32" s="829"/>
    </row>
  </sheetData>
  <sheetProtection algorithmName="SHA-512" hashValue="jMbjEya4u5CJPasISJObzYtCoAiIyvy9hMAnOCBFVZuSV+wJBJnnZvOBMqi49ddg2vKADouk6FjhXzAWIbYTrw==" saltValue="Gj5r2oILQLvxO5vgKkerDg=="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68" zoomScaleNormal="100" workbookViewId="0">
      <selection activeCell="C11" sqref="C11"/>
    </sheetView>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Versione:</v>
      </c>
      <c r="C1" s="328" t="s">
        <v>9058</v>
      </c>
      <c r="D1" s="328"/>
    </row>
    <row r="2" spans="2:18" x14ac:dyDescent="0.3">
      <c r="B2" s="328" t="str">
        <f>template_label_publication_date</f>
        <v>Data di pubblicazione:</v>
      </c>
      <c r="C2" s="329">
        <v>45988</v>
      </c>
      <c r="D2" s="328"/>
    </row>
    <row r="3" spans="2:18" ht="35.549999999999997" customHeight="1" x14ac:dyDescent="0.3">
      <c r="B3" s="830" t="str" cm="1">
        <f t="array" aca="1" ref="B3" ca="1">IF(ISERROR(CELL("filename",A1)),"Warning: The Digital Template was developed and tested using Microsoft Excel 365. Functionality may be limited or incorrect when using other spreadsheet applications or older versions of Excel.","")</f>
        <v/>
      </c>
      <c r="C3" s="830"/>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Punto di accesso della tassonomia:</v>
      </c>
      <c r="C10" s="331" t="s">
        <v>5684</v>
      </c>
    </row>
    <row r="11" spans="2:18" x14ac:dyDescent="0.3">
      <c r="B11" s="89" t="str">
        <f>template_label_select_template_display_language</f>
        <v>Seleziona la lingua di visualizzazione del modello:</v>
      </c>
      <c r="C11" s="465" t="s">
        <v>9558</v>
      </c>
    </row>
    <row r="12" spans="2:18" x14ac:dyDescent="0.3">
      <c r="B12" s="89" t="str">
        <f>template_label_title_of_report</f>
        <v>Titolo principale della relazione</v>
      </c>
      <c r="C12" t="str">
        <f>template_label_main_title_of_report_text</f>
        <v xml:space="preserve">Relazione sulla sostenibilità
</v>
      </c>
    </row>
    <row r="13" spans="2:18" x14ac:dyDescent="0.3">
      <c r="B13" s="89" t="str">
        <f>template_label_subtitle_of_report</f>
        <v xml:space="preserve">Sottotitolo della relazione
</v>
      </c>
      <c r="C13" t="str">
        <f>template_label_subtitle_of_report_text</f>
        <v>Redatto in conformità al principio volontario di rendicontazione di sostenibilità per le piccole e medie imprese (PMI) non quotate (VSME), pubblicato dalla Commissione Europea il 30 luglio 2025.</v>
      </c>
    </row>
    <row r="14" spans="2:18" s="333" customFormat="1" ht="63" x14ac:dyDescent="1.2">
      <c r="B14" s="332" t="str">
        <f>template_label_vsme_digital_template</f>
        <v>Modello Digitale VSME</v>
      </c>
    </row>
    <row r="15" spans="2:18" ht="354.6" customHeight="1" x14ac:dyDescent="0.3">
      <c r="B15" s="831" t="str">
        <f>template_label_the_purpose_of_this_digital_template_is_to_illustrate_how_vsme_reporting_can_be_implemented_in_a_digital_template</f>
        <v>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v>
      </c>
      <c r="C15" s="832"/>
      <c r="D15" s="832"/>
      <c r="E15" s="833"/>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Come usarlo:</v>
      </c>
      <c r="C18" s="337"/>
      <c r="D18" s="337"/>
      <c r="E18" s="338"/>
      <c r="F18" s="339"/>
      <c r="G18" s="339"/>
      <c r="H18" s="339"/>
      <c r="I18" s="339"/>
      <c r="J18" s="339"/>
      <c r="K18" s="339"/>
      <c r="L18" s="339"/>
      <c r="M18" s="339"/>
      <c r="N18" s="339"/>
      <c r="O18" s="339"/>
      <c r="P18" s="339"/>
      <c r="Q18" s="339"/>
      <c r="R18" s="339"/>
    </row>
    <row r="19" spans="1:18" ht="18" x14ac:dyDescent="0.3">
      <c r="B19" s="834" t="str">
        <f>template_label_0_provide_information_that_is_mandatory_in_order_to_generate_the_vsme_and_xbrl_report</f>
        <v>0. Fornire le informazioni obbligatorie per poter generare la rendicontazione VSME e XBRL.</v>
      </c>
      <c r="C19" s="835"/>
      <c r="D19" s="835"/>
      <c r="E19" s="836"/>
      <c r="F19" s="340"/>
      <c r="G19" s="340"/>
      <c r="H19" s="340"/>
      <c r="I19" s="340"/>
      <c r="J19" s="340"/>
      <c r="K19" s="340"/>
      <c r="L19" s="340"/>
      <c r="M19" s="340"/>
      <c r="N19" s="340"/>
      <c r="O19" s="340"/>
      <c r="P19" s="340"/>
      <c r="Q19" s="340"/>
      <c r="R19" s="340"/>
    </row>
    <row r="20" spans="1:18" ht="59.4" customHeight="1" x14ac:dyDescent="0.3">
      <c r="B20" s="834" t="str">
        <f>template_label_1_fill_in_the_disclosures_on_the_four_worksheets</f>
        <v>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v>
      </c>
      <c r="C20" s="835"/>
      <c r="D20" s="835"/>
      <c r="E20" s="836"/>
      <c r="F20" s="340"/>
      <c r="G20" s="340"/>
      <c r="H20" s="340"/>
      <c r="I20" s="340"/>
      <c r="J20" s="340"/>
      <c r="K20" s="340"/>
      <c r="L20" s="340"/>
      <c r="M20" s="340"/>
      <c r="N20" s="340"/>
      <c r="O20" s="340"/>
      <c r="P20" s="340"/>
      <c r="Q20" s="340"/>
      <c r="R20" s="340"/>
    </row>
    <row r="21" spans="1:18" ht="39.6" customHeight="1" x14ac:dyDescent="0.3">
      <c r="B21" s="855" t="str">
        <f>template_label_2_find_more_information_on_the_actual_disclosure_requirements_in_the_vsme_standard</f>
        <v>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v>
      </c>
      <c r="C21" s="856"/>
      <c r="D21" s="856"/>
      <c r="E21" s="857"/>
      <c r="F21" s="341"/>
      <c r="G21" s="341"/>
      <c r="H21" s="341"/>
      <c r="I21" s="341"/>
      <c r="J21" s="341"/>
      <c r="K21" s="341"/>
      <c r="L21" s="341"/>
      <c r="M21" s="341"/>
      <c r="N21" s="341"/>
      <c r="O21" s="341"/>
      <c r="P21" s="341"/>
      <c r="Q21" s="341"/>
      <c r="R21" s="341"/>
    </row>
    <row r="22" spans="1:18" ht="36" customHeight="1" x14ac:dyDescent="0.3">
      <c r="B22" s="834" t="str">
        <f>template_label_3_for_open_tables_like_the_list_of_subsidizers_sites_please_expand_the_groups_by_clicking_the_plus</f>
        <v>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v>
      </c>
      <c r="C22" s="835"/>
      <c r="D22" s="835"/>
      <c r="E22" s="836"/>
      <c r="F22" s="341"/>
      <c r="G22" s="341"/>
      <c r="H22" s="341"/>
      <c r="I22" s="341"/>
      <c r="J22" s="341"/>
      <c r="K22" s="341"/>
      <c r="L22" s="341"/>
      <c r="M22" s="341"/>
      <c r="N22" s="341"/>
      <c r="O22" s="341"/>
      <c r="P22" s="341"/>
      <c r="Q22" s="341"/>
      <c r="R22" s="341"/>
    </row>
    <row r="23" spans="1:18" s="342" customFormat="1" ht="18" x14ac:dyDescent="0.3">
      <c r="B23" s="855" t="str">
        <f>template_label_4_validate_the_data_entered_by_checking_the_validation_status</f>
        <v>4. Convalidare i dati inseriti controllando lo stato di convalida. La relazione è considerata incompleta o errata se la convalida fallisce, il che potrebbe comportare una relazione XBRL non valida.</v>
      </c>
      <c r="C23" s="856"/>
      <c r="D23" s="856"/>
      <c r="E23" s="857"/>
      <c r="F23" s="341"/>
      <c r="G23" s="341"/>
      <c r="H23" s="341"/>
      <c r="I23" s="341"/>
      <c r="J23" s="341"/>
      <c r="K23" s="341"/>
      <c r="L23" s="341"/>
      <c r="M23" s="341"/>
      <c r="N23" s="341"/>
      <c r="O23" s="341"/>
      <c r="P23" s="341"/>
      <c r="Q23" s="341"/>
      <c r="R23" s="341"/>
    </row>
    <row r="24" spans="1:18" ht="18" x14ac:dyDescent="0.3">
      <c r="B24" s="855" t="str">
        <f>template_label_5_convert_this_template_to_an_inline_xbrl_report</f>
        <v>5. Converti questo modello in una relazione Inline XBRL (o XBRL-JSON, XBRL-CSV), utilizzando questo convertitore online. Presta attenzione alla validazione XBRL eseguita dal validatore.</v>
      </c>
      <c r="C24" s="856"/>
      <c r="D24" s="856"/>
      <c r="E24" s="857"/>
      <c r="F24" s="341"/>
      <c r="G24" s="341"/>
      <c r="H24" s="341"/>
      <c r="I24" s="341"/>
      <c r="J24" s="341"/>
      <c r="K24" s="341"/>
      <c r="L24" s="341"/>
      <c r="M24" s="341"/>
      <c r="N24" s="341"/>
      <c r="O24" s="341"/>
      <c r="P24" s="341"/>
      <c r="Q24" s="341"/>
      <c r="R24" s="341"/>
    </row>
    <row r="25" spans="1:18" ht="24.6" customHeight="1" x14ac:dyDescent="0.3">
      <c r="B25" s="843" t="str">
        <f>template_label_6_the_undertaking_may_also_upload_the_report_to_public_repositories_or_a_webpage</f>
        <v>6. L'impresa può inoltre caricare la relazione su archivi pubblici o su una pagina web.</v>
      </c>
      <c r="C25" s="844"/>
      <c r="D25" s="844"/>
      <c r="E25" s="845"/>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Indice colore dello sfondo della cella:</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Principi Generali</v>
      </c>
      <c r="C28" s="840" t="str">
        <f>template_label_indicates_that_the_disclosure_is_from_the_general_principles_of_the_vsme</f>
        <v>Indica che l'informativa proviene dai principi generali del VSME.</v>
      </c>
      <c r="D28" s="841"/>
      <c r="E28" s="842"/>
      <c r="F28" s="339"/>
      <c r="G28" s="339"/>
      <c r="H28" s="339"/>
      <c r="I28" s="339"/>
      <c r="J28" s="339"/>
      <c r="K28" s="339"/>
      <c r="L28" s="339"/>
      <c r="M28" s="339"/>
      <c r="N28" s="339"/>
      <c r="O28" s="339"/>
      <c r="P28" s="339"/>
      <c r="Q28" s="339"/>
      <c r="R28" s="339"/>
    </row>
    <row r="29" spans="1:18" ht="34.5" customHeight="1" x14ac:dyDescent="0.35">
      <c r="A29" s="345"/>
      <c r="B29" s="346" t="str">
        <f>template_label_basic_module</f>
        <v>Modulo base</v>
      </c>
      <c r="C29" s="840" t="str">
        <f>template_label_indicates_that_the_disclosure_is_from_the_vsme_basic_module</f>
        <v>Indica che l'informativa proviene dal Modulo base del VSME.</v>
      </c>
      <c r="D29" s="841"/>
      <c r="E29" s="842"/>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Modulo Onnicomprensivo</v>
      </c>
      <c r="C30" s="840" t="str">
        <f>template_label_indicates_that_the_disclosure_is_from_the_vsme_comprehensive_module</f>
        <v>Indica che l'informativa proviene dal Modulo Onnicomprensivo del VSME.</v>
      </c>
      <c r="D30" s="841"/>
      <c r="E30" s="842"/>
      <c r="F30" s="339"/>
      <c r="G30" s="347"/>
      <c r="H30" s="347"/>
      <c r="I30" s="347"/>
      <c r="J30" s="347"/>
      <c r="K30" s="347"/>
      <c r="L30" s="347"/>
      <c r="M30" s="347"/>
      <c r="N30" s="347"/>
      <c r="O30" s="347"/>
      <c r="P30" s="347"/>
      <c r="Q30" s="347"/>
      <c r="R30" s="347"/>
    </row>
    <row r="31" spans="1:18" ht="35.85" customHeight="1" x14ac:dyDescent="0.35">
      <c r="A31" s="345"/>
      <c r="B31" s="349"/>
      <c r="C31" s="837" t="str">
        <f>template_label_indicates_that_the_cell_is_automatically_calculated_and_that_no_data_entry_is_required</f>
        <v>Indica che la cella è calcolata automaticamente e che non è richiesta alcuna immissione di dati.</v>
      </c>
      <c r="D31" s="838"/>
      <c r="E31" s="839"/>
      <c r="F31" s="339"/>
      <c r="G31" s="350"/>
      <c r="H31" s="350"/>
      <c r="I31" s="350"/>
      <c r="J31" s="350"/>
      <c r="K31" s="350"/>
      <c r="L31" s="350"/>
      <c r="M31" s="350"/>
      <c r="N31" s="350"/>
      <c r="O31" s="350"/>
      <c r="P31" s="350"/>
      <c r="Q31" s="350"/>
      <c r="R31" s="350"/>
    </row>
    <row r="32" spans="1:18" ht="63" customHeight="1" x14ac:dyDescent="0.35">
      <c r="A32" s="345"/>
      <c r="B32" s="351"/>
      <c r="C32" s="837" t="str">
        <f>template_label_indicates_that_the_datapoint_often_a_condition_will_not_be_included_in_the_vsme_and_digital_xbrl_report</f>
        <v>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v>
      </c>
      <c r="D32" s="838"/>
      <c r="E32" s="839"/>
      <c r="F32" s="339"/>
      <c r="G32" s="350"/>
      <c r="H32" s="350"/>
      <c r="I32" s="350"/>
      <c r="J32" s="350"/>
      <c r="K32" s="350"/>
      <c r="L32" s="350"/>
      <c r="M32" s="350"/>
      <c r="N32" s="350"/>
      <c r="O32" s="350"/>
      <c r="P32" s="350"/>
      <c r="Q32" s="350"/>
      <c r="R32" s="350"/>
    </row>
    <row r="33" spans="1:18" ht="35.85" customHeight="1" x14ac:dyDescent="0.35">
      <c r="A33" s="345"/>
      <c r="B33" s="352"/>
      <c r="C33" s="837" t="str">
        <f>template_label_indicates_that_no_data_entry_is_required_unless_certain_logics_are_selected_in_the_disclosure_itself</f>
        <v>Indica che non è richiesto alcun inserimento di dati a meno che nella stessa informativa non vengano selezionate determinate logiche. Quando una di queste logiche viene selezionata, allora questa cella diventerà bianca.</v>
      </c>
      <c r="D33" s="838"/>
      <c r="E33" s="839"/>
      <c r="F33" s="339"/>
      <c r="G33" s="350"/>
      <c r="H33" s="350"/>
      <c r="I33" s="350"/>
      <c r="J33" s="350"/>
      <c r="K33" s="350"/>
      <c r="L33" s="350"/>
      <c r="M33" s="350"/>
      <c r="N33" s="350"/>
      <c r="O33" s="350"/>
      <c r="P33" s="350"/>
      <c r="Q33" s="350"/>
      <c r="R33" s="350"/>
    </row>
    <row r="34" spans="1:18" ht="63" x14ac:dyDescent="0.35">
      <c r="B34" s="353" t="str">
        <f>template_label_validation_missing_value_error_velue_inconsistency_invalid_url</f>
        <v>Validazione VALORE MANCANTE/ERRORE/INCOERENZA DI VALORE/URL NON VALIDO</v>
      </c>
      <c r="C34" s="840" t="str">
        <f>template_label_indicates_that_either_data_entry_is_incorrect_in_terms_of_format_or_that_certain_information</f>
        <v>Indica che l'inserimento dei dati è errato in termini di formato oppure che mancano alcune informazioni necessarie per una corretta rendicontazione dell'informativa.</v>
      </c>
      <c r="D34" s="841"/>
      <c r="E34" s="842"/>
      <c r="F34" s="339"/>
      <c r="G34" s="347"/>
      <c r="H34" s="347"/>
      <c r="I34" s="347"/>
      <c r="J34" s="347"/>
      <c r="K34" s="347"/>
      <c r="L34" s="347"/>
      <c r="M34" s="347"/>
      <c r="N34" s="347"/>
      <c r="O34" s="347"/>
      <c r="P34" s="347"/>
      <c r="Q34" s="347"/>
      <c r="R34" s="347"/>
    </row>
    <row r="35" spans="1:18" ht="22.35" customHeight="1" x14ac:dyDescent="0.35">
      <c r="B35" s="354" t="s">
        <v>2886</v>
      </c>
      <c r="C35" s="840" t="str">
        <f>template_label_indicates_that_data_entry_is_ok_and_the_undertaking_can_proceed_to_the_next_disclosure</f>
        <v>Indica che l'immissione dei dati è corretta e l'impresa può procedere con la successiva informativa.</v>
      </c>
      <c r="D35" s="841"/>
      <c r="E35" s="842"/>
      <c r="F35" s="339"/>
      <c r="G35" s="347"/>
      <c r="H35" s="347"/>
      <c r="I35" s="347"/>
      <c r="J35" s="347"/>
      <c r="K35" s="347"/>
      <c r="L35" s="347"/>
      <c r="M35" s="347"/>
      <c r="N35" s="347"/>
      <c r="O35" s="347"/>
      <c r="P35" s="347"/>
      <c r="Q35" s="347"/>
      <c r="R35" s="347"/>
    </row>
    <row r="36" spans="1:18" ht="22.35" customHeight="1" x14ac:dyDescent="0.35">
      <c r="B36" s="355"/>
      <c r="C36" s="840" t="str">
        <f>template_label_no_value_can_be_entered_in_the_cell</f>
        <v>Non è possibile inserire alcun valore nella cella.</v>
      </c>
      <c r="D36" s="841"/>
      <c r="E36" s="842"/>
      <c r="F36" s="339"/>
      <c r="G36" s="347"/>
      <c r="H36" s="347"/>
      <c r="I36" s="347"/>
      <c r="J36" s="347"/>
      <c r="K36" s="347"/>
      <c r="L36" s="347"/>
      <c r="M36" s="347"/>
      <c r="N36" s="347"/>
      <c r="O36" s="347"/>
      <c r="P36" s="347"/>
      <c r="Q36" s="347"/>
      <c r="R36" s="347"/>
    </row>
    <row r="37" spans="1:18" ht="45.75" customHeight="1" x14ac:dyDescent="0.35">
      <c r="A37" s="345"/>
      <c r="B37" s="356" t="s">
        <v>2880</v>
      </c>
      <c r="C37" s="837" t="str">
        <f>template_label_lists_can_be_expanded_using_the_plus_button_on_the_left</f>
        <v>Le liste possono essere espanse utilizzando il pulsante più [+] a sinistra. Se il numero di righe non è sufficiente, è possibile aggiungere ulteriori righe facendo clic con il tasto destro sulla seconda riga e selezionando "Inserisci riga".</v>
      </c>
      <c r="D37" s="838"/>
      <c r="E37" s="839"/>
      <c r="F37" s="339"/>
      <c r="G37" s="357"/>
      <c r="H37" s="357"/>
      <c r="I37" s="357"/>
      <c r="J37" s="357"/>
      <c r="K37" s="357"/>
      <c r="L37" s="357"/>
      <c r="M37" s="357"/>
      <c r="N37" s="357"/>
      <c r="O37" s="357"/>
      <c r="P37" s="357"/>
      <c r="Q37" s="357"/>
      <c r="R37" s="357"/>
    </row>
    <row r="42" spans="1:18" x14ac:dyDescent="0.3">
      <c r="B42" s="852"/>
      <c r="C42" s="853"/>
      <c r="D42" s="853"/>
      <c r="E42" s="854"/>
    </row>
    <row r="43" spans="1:18" ht="97.2" customHeight="1" x14ac:dyDescent="0.4">
      <c r="B43" s="846" t="str">
        <f>template_label_efrag_is_funded_by_the_european_union_through_the_single_market_programme</f>
        <v>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v>
      </c>
      <c r="C43" s="847"/>
      <c r="D43" s="847"/>
      <c r="E43" s="848"/>
    </row>
    <row r="44" spans="1:18" ht="21" x14ac:dyDescent="0.4">
      <c r="B44" s="849" t="str">
        <f>template_label_reproduction_and_use_rights_are_strictly_limited</f>
        <v>Riproduzione e diritti d'uso sono severamente limitati. Per ulteriori dettagli, contattare efragsecretariat@efrag.org</v>
      </c>
      <c r="C44" s="850"/>
      <c r="D44" s="850"/>
      <c r="E44" s="851"/>
    </row>
  </sheetData>
  <sheetProtection algorithmName="SHA-512" hashValue="7h+o7B/hhsjCCXmEkl8sSPV+MHnHQC7y6OCF81fBjv6ZCqS6TyrBoCQGd5EySOC8PCdgxiDpg89QZfYj/rfkFA==" saltValue="s5w360nJ4EX2WntscBW0Ew==" spinCount="100000" sheet="1" formatColumns="0" formatRows="0"/>
  <mergeCells count="22">
    <mergeCell ref="B43:E43"/>
    <mergeCell ref="B44:E44"/>
    <mergeCell ref="B42:E42"/>
    <mergeCell ref="B20:E20"/>
    <mergeCell ref="B21:E21"/>
    <mergeCell ref="B22:E22"/>
    <mergeCell ref="B23:E23"/>
    <mergeCell ref="B24:E24"/>
    <mergeCell ref="C32:E32"/>
    <mergeCell ref="C31:E31"/>
    <mergeCell ref="C28:E28"/>
    <mergeCell ref="C29:E29"/>
    <mergeCell ref="C30:E30"/>
    <mergeCell ref="B3:C3"/>
    <mergeCell ref="B15:E15"/>
    <mergeCell ref="B19:E19"/>
    <mergeCell ref="C33:E33"/>
    <mergeCell ref="C37:E37"/>
    <mergeCell ref="C36:E36"/>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tabSelected="1" zoomScale="74" zoomScaleNormal="125" workbookViewId="0">
      <selection activeCell="B53" sqref="B53"/>
    </sheetView>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Stato complessivo di convalida</v>
      </c>
    </row>
    <row r="3" spans="2:3" ht="31.2" x14ac:dyDescent="0.6">
      <c r="B3" s="426" t="str">
        <f>template_label_table_of_contents_validation</f>
        <v>Sommario</v>
      </c>
      <c r="C3" s="360" t="str" cm="1">
        <f t="array" ref="C3">IF(SUMPRODUCT(--((C5:C68&lt;&gt;template_label_ok)*(C5:C68&lt;&gt;"-")*(C5:C68&lt;&gt;""))) &gt; 0, template_label_incomplete, template_label_complete)</f>
        <v>INCOMPLETO</v>
      </c>
    </row>
    <row r="4" spans="2:3" ht="18" x14ac:dyDescent="0.3">
      <c r="B4" s="361" t="str">
        <f>template_label_contents_grouping_follows_templates_framework</f>
        <v>Il raggruppamento dei contenuti segue il quadro del modello</v>
      </c>
      <c r="C4" s="362" t="str">
        <f>template_label_specific_content_validation_status_validation</f>
        <v>Stato di convalida specifico del contenuto</v>
      </c>
    </row>
    <row r="5" spans="2:3" x14ac:dyDescent="0.3">
      <c r="B5" s="363" t="str">
        <f>template_label_general_information_validation</f>
        <v xml:space="preserve">Informazioni generali
</v>
      </c>
      <c r="C5" s="364"/>
    </row>
    <row r="6" spans="2:3" x14ac:dyDescent="0.3">
      <c r="B6" s="365" t="str">
        <f>template_label_information_on_the_report_necessary_for_xbrl_validation</f>
        <v>· Informazioni sulla relazione necessarie per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Informazioni sul periodo di riferimento precedente</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27" t="str">
        <f>template_label_basic_module_validation</f>
        <v>Modulo base</v>
      </c>
      <c r="C8" s="368"/>
    </row>
    <row r="9" spans="2:3" x14ac:dyDescent="0.3">
      <c r="B9" s="363" t="str">
        <f>template_label_general_information_validation</f>
        <v xml:space="preserve">Informazioni generali
</v>
      </c>
      <c r="C9" s="364"/>
    </row>
    <row r="10" spans="2:3" x14ac:dyDescent="0.3">
      <c r="B10" s="369" t="str">
        <f>template_label_b1_basis_for_preparation_validation</f>
        <v>· B1 – Criteri per la redazione</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25" t="str">
        <f>template_label_basis_for_preparation_and_other_undertakings_general_information_validation</f>
        <v>Criteri per la redazione e informazioni generali sull'impresa</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25" t="str">
        <f>template_label_list_of_subsidiaries_validation</f>
        <v>Elenco delle imprese figlie</v>
      </c>
      <c r="C12" s="366" t="str">
        <f>IF(
    COUNTIF('General Information'!F336:F435, template_label_missing_value) &gt; 0,
    template_label_missing_value,
    IF(
        COUNTIF('General Information'!F336:F435, template_label_ok) &gt; 0,
        template_label_ok,
        "-"
    )
)</f>
        <v>OK</v>
      </c>
    </row>
    <row r="13" spans="2:3" ht="28.8" x14ac:dyDescent="0.3">
      <c r="B13" s="425" t="str">
        <f>template_label_disclosure_of_sustainability_related_certifications_or_labels_validation</f>
        <v xml:space="preserve">Informativa sulla/e certificazione/i o marchio/i di sostenibilità
</v>
      </c>
      <c r="C13" s="366" t="str">
        <f>IF(
    COUNTIF('General Information'!I441, template_label_missing_value) &gt; 0,
    template_label_missing_value,
    IF(
        COUNTIF('General Information'!I441, template_label_ok) &gt; 0,
        template_label_ok,
        "-"
    )
)</f>
        <v>OK</v>
      </c>
    </row>
    <row r="14" spans="2:3" x14ac:dyDescent="0.3">
      <c r="B14" s="425" t="str">
        <f>template_label_list_of_sites_validation</f>
        <v>Elenco di sito(i)</v>
      </c>
      <c r="C14" s="366" t="str">
        <f>IF(
    COUNTIF('General Information'!I450:I549, template_label_missing_value) &gt; 0,
    template_label_missing_value,
    IF(
        COUNTIF('General Information'!I450:I549, template_label_ok) &gt; 0,
        template_label_ok,
        "-"
    )
)</f>
        <v>OK</v>
      </c>
    </row>
    <row r="15" spans="2:3" x14ac:dyDescent="0.3">
      <c r="B15" s="428" t="str">
        <f>template_label_b2_practices_policies_and_future_initiatives_for_transitioning_towards_a_more_sustainable_economy_validation</f>
        <v>· B2 - Pratiche, politiche e iniziative future per la transizione verso un'economia più sostenibile</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25" t="str">
        <f>template_label_practices_policies_and_future_initiatives_for_transitioning_towards_a_more_sustainable_economy_validation</f>
        <v>Pratiche, politiche e iniziative future per la transizione verso un'economia più sostenibile</v>
      </c>
      <c r="C16" s="366" t="str">
        <f>IF(
    COUNTIF('General Information'!P556, template_label_missing_value) &gt; 0,
    template_label_missing_value,
    IF(
        COUNTIF('General Information'!P556, template_label_ok) &gt; 0,
        template_label_ok,
        "-"
    )
)</f>
        <v>OK</v>
      </c>
    </row>
    <row r="17" spans="2:3" x14ac:dyDescent="0.3">
      <c r="B17" s="425" t="str">
        <f>template_label_cooperative_specific_disclosures_validation</f>
        <v>Informative specifiche per cooperative</v>
      </c>
      <c r="C17" s="366" t="str" cm="1">
        <f t="array" ref="C17">IF(OR('General Information'!E560:E562=template_label_ok),template_label_ok,"-")</f>
        <v>-</v>
      </c>
    </row>
    <row r="18" spans="2:3" x14ac:dyDescent="0.3">
      <c r="B18" s="370" t="str">
        <f>template_label_environmental_disclosures_validation</f>
        <v>Informative ambientali</v>
      </c>
      <c r="C18" s="364"/>
    </row>
    <row r="19" spans="2:3" x14ac:dyDescent="0.3">
      <c r="B19" s="430" t="str">
        <f>template_label_b3_energy_and_greenhouse_gas_emissions_validation</f>
        <v>· B3 - Energia ed emissioni di gas a effetto serra</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29" t="str">
        <f>template_label_total_energy_consumption_in_mwh_validation</f>
        <v>Totale consumo di energia (in MWh)</v>
      </c>
      <c r="C20" s="366" t="str">
        <f>IF(COUNTIF('Environmental Disclosures'!L5,template_label_missing_value)&gt;0,template_label_missing_value,
IF(COUNTIF('Environmental Disclosures'!L5,template_label_ok)&gt;0,template_label_ok,"-"))</f>
        <v>OK</v>
      </c>
    </row>
    <row r="21" spans="2:3" x14ac:dyDescent="0.3">
      <c r="B21" s="429" t="str">
        <f>template_label_breakdown_of_energy_consumption_in_mwh_validation</f>
        <v>Ripartizione del consumo di energia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ht="28.8" x14ac:dyDescent="0.3">
      <c r="B22" s="429" t="str">
        <f>template_label_estimated_greenhouse_gas_emissions_considering_the_ghg_protocol_version_2004_in_tco2e_validation</f>
        <v>Emissioni stimate di gas a effetto serra considerando il Greenhouse Gas Protocol versione 2004 (in tCO2e)</v>
      </c>
      <c r="C22" s="366" t="str">
        <f>IF(COUNTIF('Environmental Disclosures'!L21:L44,template_label_missing_value)&gt;0,template_label_missing_value,
IF(COUNTIF('Environmental Disclosures'!L21:L44,template_label_ok)&gt;0,template_label_ok,"-"))</f>
        <v>OK</v>
      </c>
    </row>
    <row r="23" spans="2:3" x14ac:dyDescent="0.3">
      <c r="B23" s="429" t="str">
        <f>template_label_greenhouse_gas_emission_intensity_per_turnover_validation</f>
        <v>Intensità delle emissioni di gas a effetto serra per ricavi delle vendite e delle prestazioni</v>
      </c>
      <c r="C23" s="371" t="str">
        <f>IF(C22=template_label_ok,template_label_ok,"-")</f>
        <v>OK</v>
      </c>
    </row>
    <row r="24" spans="2:3" x14ac:dyDescent="0.3">
      <c r="B24" s="365" t="str">
        <f>template_label_b4_pollution_of_air_water_and_soil_validation</f>
        <v>· B4 – Inquinamento di aria, acqua e suolo</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5" t="str">
        <f>template_label_b5_biodiversity_validation</f>
        <v>· B5 – Biodiversità</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29" t="str">
        <f>template_label_sites_in_biodiversity_sensitive_areas_validation</f>
        <v>Siti all'interno di un'area sensibile sotto il profilo della biodiversità</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29" t="str">
        <f>template_label_biodiversity_land_use_validation</f>
        <v>Biodiversità - Uso del suolo</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OK</v>
      </c>
    </row>
    <row r="28" spans="2:3" x14ac:dyDescent="0.3">
      <c r="B28" s="365" t="str">
        <f>template_label_b6_water_validation</f>
        <v>· B6 –   Acque</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29" t="str">
        <f>template_label_water_withdrawal_validation</f>
        <v xml:space="preserve">Prelievo idrico
</v>
      </c>
      <c r="C29" s="366" t="str">
        <f>IF(COUNTIF('Environmental Disclosures'!E303:F304, template_label_missing_value) &gt; 0,
    template_label_missing_value,
    IF(COUNTIF('Environmental Disclosures'!E303:F304, template_label_ok) &gt; 0,
        template_label_ok,
        "-"))</f>
        <v>OK</v>
      </c>
    </row>
    <row r="30" spans="2:3" x14ac:dyDescent="0.3">
      <c r="B30" s="429" t="str">
        <f>template_label_water_consumption_validation</f>
        <v>Consumo idrico</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Uso delle risorse, economia circolare e gestione dei rifiuti</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29" t="str">
        <f>template_label_description_of_circular_economy_principles_validation</f>
        <v>Descrizione dei principi dell'economia circolare</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29" t="str">
        <f>template_label_waste_generated_validation</f>
        <v>Rifiuti generati</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29" t="str">
        <f>template_label_annual_mass_flow_of_relevant_materials_used_validation</f>
        <v>Flusso di massa annuo dei materiali pertinenti utilizzati</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Informative sociali</v>
      </c>
      <c r="C35" s="364"/>
    </row>
    <row r="36" spans="2:3" x14ac:dyDescent="0.3">
      <c r="B36" s="430" t="str">
        <f>template_label_b8_workforce_general_characteristics_validation</f>
        <v>· B8 - Forza lavoro - Caratteristiche generali</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29" t="str">
        <f>template_label_type_of_contract_validation</f>
        <v>Tipo di contratto</v>
      </c>
      <c r="C37" s="366" t="str">
        <f>IF(COUNTIF('Social Disclosures'!H10, template_label_missing_value) &gt; 0,
    template_label_missing_value,
    IF(COUNTIF('Social Disclosures'!H10, template_label_ok) &gt; 0,
        template_label_ok,
        "-"))</f>
        <v>OK</v>
      </c>
    </row>
    <row r="38" spans="2:3" x14ac:dyDescent="0.3">
      <c r="B38" s="429" t="str">
        <f>template_label_gender_validation</f>
        <v>Genere</v>
      </c>
      <c r="C38" s="366" t="str">
        <f>IF(COUNTIF('Social Disclosures'!H18:H21, template_label_missing_value) &gt; 0,
    template_label_missing_value,
    IF(COUNTIF('Social Disclosures'!H18:H21, template_label_ok) &gt; 0,
        template_label_ok,
        "-"))</f>
        <v>OK</v>
      </c>
    </row>
    <row r="39" spans="2:3" x14ac:dyDescent="0.3">
      <c r="B39" s="429" t="str">
        <f>template_label_country_of_employment_validation</f>
        <v>Paese del contratto di lavoro</v>
      </c>
      <c r="C39" s="366" t="str">
        <f>IF(COUNTIF('Social Disclosures'!I29:I128, template_label_missing_value) &gt; 0,
    template_label_missing_value,
    IF(COUNTIF('Social Disclosures'!I29:I128, template_label_ok) &gt; 0,
        template_label_ok,
        "-"))</f>
        <v>OK</v>
      </c>
    </row>
    <row r="40" spans="2:3" x14ac:dyDescent="0.3">
      <c r="B40" s="429" t="str">
        <f>template_label_turnover_rate_validation</f>
        <v>Tasso di avvicendamento</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Forza lavoro – Salute e sicurezza</v>
      </c>
      <c r="C41" s="366" t="str">
        <f>IF(COUNTIF('Social Disclosures'!I140:I144, template_label_missing_value) &gt; 0,
    template_label_missing_value,
    IF(COUNTIF('Social Disclosures'!I140:I144, template_label_ok) &gt; 0,
        template_label_ok,
        "-"))</f>
        <v>OK</v>
      </c>
    </row>
    <row r="42" spans="2:3" ht="43.2" x14ac:dyDescent="0.3">
      <c r="B42" s="367" t="str">
        <f>template_label_b10_workforce_remuneration_collective_bargaining_and_training_validation</f>
        <v xml:space="preserve">· B10 – Forza lavoro – Retribuzione, contrattazione collettiva e formazione
</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Informative sulla governance</v>
      </c>
      <c r="C43" s="364"/>
    </row>
    <row r="44" spans="2:3" x14ac:dyDescent="0.3">
      <c r="B44" s="367" t="str">
        <f>template_label_b11_convictions_and_fines_for_corruption_and_bribery_validation</f>
        <v>· B11 - Condanne e ammende per corruzione attiva e passiva</v>
      </c>
      <c r="C44" s="366" t="str">
        <f>IF(COUNTIF('Governance Disclosures'!I6:I7, template_label_missing_value) &gt; 0,
    template_label_missing_value,
    IF(COUNTIF('Governance Disclosures'!I6:I7, template_label_ok) &gt; 0,
        template_label_ok,
        "-"))</f>
        <v>OK</v>
      </c>
    </row>
    <row r="45" spans="2:3" ht="18" x14ac:dyDescent="0.35">
      <c r="B45" s="427" t="str">
        <f>template_label_comprehensive_module_validation</f>
        <v>Modulo onnicomprensivo</v>
      </c>
      <c r="C45" s="368"/>
    </row>
    <row r="46" spans="2:3" x14ac:dyDescent="0.3">
      <c r="B46" s="363" t="str">
        <f>template_label_general_information_validation</f>
        <v xml:space="preserve">Informazioni generali
</v>
      </c>
      <c r="C46" s="364"/>
    </row>
    <row r="47" spans="2:3" x14ac:dyDescent="0.3">
      <c r="B47" s="428" t="str">
        <f>template_label_c1_strategy_business_model_and_sustainability_related_initiatives_validation</f>
        <v>· C1 - Strategia: modello aziendale e iniziative connesse alla sostenibilità</v>
      </c>
      <c r="C47" s="366" t="str">
        <f>IF(COUNTIF('General Information'!H571:H577, template_label_missing_value) &gt; 0,
    template_label_missing_value,
    IF(COUNTIF('General Information'!H571:H577, template_label_ok) &gt; 0,
        template_label_ok,
        "-"))</f>
        <v>OK</v>
      </c>
    </row>
    <row r="48" spans="2:3" ht="28.8" x14ac:dyDescent="0.3">
      <c r="B48" s="428" t="str">
        <f>template_label_c2_description_of_practices_policies_and_future_initiatives_for_transitioning_towards_a_more_sustainable_economy_validation</f>
        <v>· C2 – Descrizione delle pratiche, delle politiche e delle iniziative future per la transizione verso un'economia più sostenibile</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Informative ambientali</v>
      </c>
      <c r="C49" s="364"/>
    </row>
    <row r="50" spans="2:3" x14ac:dyDescent="0.3">
      <c r="B50" s="430" t="str">
        <f>template_label_c3_ghg_reduction_targets_and_climate_transition_validation</f>
        <v>· C3 – Obiettivi di riduzione delle emissioni di gas a effetto serra e transizione climatica</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 xml:space="preserve">VALORE MANCANTE
</v>
      </c>
    </row>
    <row r="51" spans="2:3" x14ac:dyDescent="0.3">
      <c r="B51" s="429" t="str">
        <f>template_label_ghg_reduction_targets_in_tc02e_validation</f>
        <v>Obiettivi di riduzione delle emissioni di gas a effetto serra (in tCO2e)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29" t="str">
        <f>template_label_disclosure_of_list_of_main_actions_the_entity_seeks_in_order_to_achieve_its_targets_validation</f>
        <v>Informativa dell'elenco delle principali azioni che l'impresa intende attuare per conseguire i propri obiettivi</v>
      </c>
      <c r="C52" s="366" t="str">
        <f>IF(COUNTIF('Environmental Disclosures'!L52, template_label_missing_value) &gt; 0,
    template_label_missing_value,
    IF(COUNTIF('Environmental Disclosures'!L52, template_label_ok) &gt; 0,
        template_label_ok,
        "-"))</f>
        <v>OK</v>
      </c>
    </row>
    <row r="53" spans="2:3" x14ac:dyDescent="0.3">
      <c r="B53" s="429" t="str">
        <f>template_label_transition_plan_for_undertakings_operating_in_high_climate_impact_sectors_validation</f>
        <v>Piano di transizione per le imprese che operano in settori ad alto impatto climatico</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 xml:space="preserve">VALORE MANCANTE
</v>
      </c>
    </row>
    <row r="54" spans="2:3" x14ac:dyDescent="0.3">
      <c r="B54" s="365" t="str">
        <f>template_label_c4_climate_risks_validation</f>
        <v>· C4 - Rischi climatici</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Informative sociali</v>
      </c>
      <c r="C55" s="364"/>
    </row>
    <row r="56" spans="2:3" x14ac:dyDescent="0.3">
      <c r="B56" s="365" t="str">
        <f>template_label_c5_additional_general_workforce_characteristics_validation</f>
        <v>· C5 – Altre caratteristiche (generali) della forza lavoro</v>
      </c>
      <c r="C56" s="366" t="str">
        <f>IF(COUNTIF('Social Disclosures'!I165:I169, template_label_ok) &gt; 0,
    template_label_ok,
    "-")</f>
        <v>OK</v>
      </c>
    </row>
    <row r="57" spans="2:3" x14ac:dyDescent="0.3">
      <c r="B57" s="365" t="str">
        <f>template_label_c6_additional_own_workforce_information_human_rights_policies_and_processes_validation</f>
        <v>· C6 - Altre informazioni sulla forza lavoro propria – Politiche e procedure in materia di diritti umani</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ht="43.2" x14ac:dyDescent="0.3">
      <c r="B58" s="367" t="str">
        <f>template_label_c7_severe_negative_human_rights_incidents_validation</f>
        <v xml:space="preserve">· C7 - Incidenti gravi in materia di diritti umani
</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Informative sulla governance</v>
      </c>
      <c r="C59" s="368"/>
    </row>
    <row r="60" spans="2:3" x14ac:dyDescent="0.3">
      <c r="B60" s="369" t="str">
        <f>template_label_c8_revenues_from_certain_sectors_and_exclusion_from_eu_reference_benchmarks_validation</f>
        <v>· C8 – Ricavi da determinate attività ed esclusione dagli indici di riferimento dell'UE</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25" t="str">
        <f>template_label_revenues_from_certain_sectors_validation</f>
        <v>Ricavi da determinate attività</v>
      </c>
      <c r="C61" s="366" t="str">
        <f>IF(COUNTIF('Governance Disclosures'!I12:I18, template_label_value_inconsistency) &gt; 0,
    template_label_value_inconsistency,
    IF(COUNTIF('Governance Disclosures'!I12:I18, template_label_ok) &gt; 0,
        template_label_ok,
        "-"))</f>
        <v>-</v>
      </c>
    </row>
    <row r="62" spans="2:3" x14ac:dyDescent="0.3">
      <c r="B62" s="425" t="str">
        <f>template_label_exclusion_from_eu_reference_benchmarks_validation</f>
        <v>Esclusione dagli indici di riferimento dell'UE</v>
      </c>
      <c r="C62" s="366" t="str">
        <f>IF(COUNTIF('Governance Disclosures'!I22:I26, template_label_missing_value) &gt; 0,
    template_label_missing_value,
    IF(COUNTIF('Governance Disclosures'!I22:I26, template_label_ok) &gt; 0,
        template_label_ok,
        "-"))</f>
        <v>OK</v>
      </c>
    </row>
    <row r="63" spans="2:3" x14ac:dyDescent="0.3">
      <c r="B63" s="431" t="str">
        <f>template_label_c9_gender_diversity_ratio_in_the_governance_body_validation</f>
        <v>· C9 - Diversità di genere nell'organo di governance</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Ulteriori informative</v>
      </c>
      <c r="C64" s="368"/>
    </row>
    <row r="65" spans="2:3" x14ac:dyDescent="0.3">
      <c r="B65" s="428" t="str">
        <f>template_label_disclosure_of_any_other_general_and_or_entity_specific_information_on_the_reporting_period_validation</f>
        <v>· Comunicazione di qualsiasi altra informazione generale e/o specifica per soggetto nel periodo di riferimento</v>
      </c>
      <c r="C65" s="372" t="str">
        <f>IF('General Information'!I581 = template_label_ok, template_label_ok, "")</f>
        <v/>
      </c>
    </row>
    <row r="66" spans="2:3" x14ac:dyDescent="0.3">
      <c r="B66" s="367" t="str">
        <f>template_label_disclosure_of_any_other_environmental_and_or_entity_specific_environmental_disclosures_validation</f>
        <v>· Comunicazione di qualsiasi altra informazione ambientale e/o specifica per soggetto</v>
      </c>
      <c r="C66" s="372" t="str">
        <f>IF('Environmental Disclosures'!M548 = template_label_ok, template_label_ok, "")</f>
        <v/>
      </c>
    </row>
    <row r="67" spans="2:3" x14ac:dyDescent="0.3">
      <c r="B67" s="367" t="str">
        <f>template_label_disclosure_of_any_other_social_and_or_entity_specific_social_disclosures_validation</f>
        <v>· Comunicazione di qualsiasi altra informazione sociale e/o specifica per soggetto</v>
      </c>
      <c r="C67" s="372" t="str">
        <f>IF('Social Disclosures'!I200 = template_label_ok, template_label_ok, "")</f>
        <v/>
      </c>
    </row>
    <row r="68" spans="2:3" ht="15" thickBot="1" x14ac:dyDescent="0.35">
      <c r="B68" s="432" t="str">
        <f>template_label_disclosure_of_any_other_governance_and_or_entity_specific_governance_disclosures_validation</f>
        <v>· Comunicazione di qualsiasi altra informativa sulla governance e/o specifica per soggetto</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51" priority="371">
      <formula>B$44="INCOMPLETE"</formula>
    </cfRule>
    <cfRule type="expression" dxfId="350" priority="372">
      <formula>B$44="COMPLETE"</formula>
    </cfRule>
  </conditionalFormatting>
  <conditionalFormatting sqref="C2">
    <cfRule type="expression" dxfId="349" priority="12">
      <formula>C$58="INCOMPLETE"</formula>
    </cfRule>
    <cfRule type="expression" dxfId="348" priority="13">
      <formula>C$58="COMPLETE"</formula>
    </cfRule>
  </conditionalFormatting>
  <conditionalFormatting sqref="C3">
    <cfRule type="expression" dxfId="347" priority="10">
      <formula>$C$3=template_label_incomplete</formula>
    </cfRule>
    <cfRule type="expression" dxfId="346" priority="11">
      <formula>$C$3=template_label_complete</formula>
    </cfRule>
  </conditionalFormatting>
  <conditionalFormatting sqref="C6:C8 C10:C45 C47:C68">
    <cfRule type="expression" dxfId="345" priority="1">
      <formula>$C6=template_label_value_inconsistency</formula>
    </cfRule>
    <cfRule type="expression" dxfId="344" priority="2">
      <formula>$C6=template_label_invalid_url</formula>
    </cfRule>
    <cfRule type="expression" dxfId="343" priority="3">
      <formula>$C6=template_label_error_plus_missing_value_plus_value_inconsistency</formula>
    </cfRule>
    <cfRule type="expression" dxfId="342" priority="4">
      <formula>$C6=template_label_error_plus_value_inconsistency</formula>
    </cfRule>
    <cfRule type="expression" dxfId="341" priority="5">
      <formula>$C6=template_label_error_plus_missing_value</formula>
    </cfRule>
    <cfRule type="expression" dxfId="340" priority="6">
      <formula>$C6=template_label_missing_value_plus_value_inconsistency</formula>
    </cfRule>
    <cfRule type="expression" dxfId="339" priority="7">
      <formula>$C6=template_label_missing_value</formula>
    </cfRule>
    <cfRule type="expression" dxfId="338" priority="8">
      <formula>$C6=template_label_error</formula>
    </cfRule>
    <cfRule type="expression" dxfId="337"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topLeftCell="C1" zoomScale="79" zoomScaleNormal="100" workbookViewId="0">
      <selection activeCell="E327" sqref="E327"/>
    </sheetView>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Riferimento al paragrafo</v>
      </c>
      <c r="B1" s="386" t="str">
        <f>template_label_paragraph_guidance_reference</f>
        <v xml:space="preserve">Riferimento al paragrafo degli orientamenti
</v>
      </c>
    </row>
    <row r="2" spans="1:11" ht="14.4" customHeight="1" x14ac:dyDescent="0.3">
      <c r="A2" s="88"/>
      <c r="B2" s="88"/>
      <c r="C2" s="929" t="str">
        <f>template_label_information_on_the_report_necessary_for_xbrl &amp; " " &amp; template_label_always_to_be_reported</f>
        <v>Informazioni sulla relazione necessarie per XBRL [Sempre da riportare]</v>
      </c>
      <c r="D2" s="930"/>
      <c r="E2" s="931"/>
    </row>
    <row r="3" spans="1:11" ht="14.4" customHeight="1" x14ac:dyDescent="0.3">
      <c r="A3" s="88"/>
      <c r="B3" s="88"/>
      <c r="C3" s="124" t="str">
        <f>template_label_name_of_the_reporting_entity</f>
        <v>Nome dell'impresa che redige la relazione</v>
      </c>
      <c r="D3" s="782" t="s">
        <v>9540</v>
      </c>
      <c r="E3" s="783"/>
      <c r="F3" s="11" t="str">
        <f>IF(D3 = "", template_label_missing_value, template_label_ok)</f>
        <v>OK</v>
      </c>
    </row>
    <row r="4" spans="1:11" ht="14.4" customHeight="1" x14ac:dyDescent="0.3">
      <c r="A4" s="88"/>
      <c r="B4" s="88"/>
      <c r="C4" s="124" t="str">
        <f>template_label_identifier_of_the_reporting_entity</f>
        <v>Identificatore dell'impresa che redige la relazione (selezionare e specificare a destra)</v>
      </c>
      <c r="D4" s="385" t="s">
        <v>3680</v>
      </c>
      <c r="E4" s="56" t="s">
        <v>9541</v>
      </c>
      <c r="F4" s="11" t="str">
        <f>IF(OR(D4 = "", E4 = ""), template_label_missing_value, template_label_ok)</f>
        <v>OK</v>
      </c>
      <c r="G4" t="str">
        <f>template_label_identifier_warning</f>
        <v>ℹ️ L'identificatore dell'impresa è un ID unico che consente di identificare l'impresa che ha fornito le informazioni. Il principio VSME non richiede alcun identificatore specifico. Un identificatore dell'impresa è necessario per la rendicontazione digitale.</v>
      </c>
    </row>
    <row r="5" spans="1:11" ht="14.4" customHeight="1" thickBot="1" x14ac:dyDescent="0.35">
      <c r="C5" s="5" t="str">
        <f>template_label_currency_of_the_monetary_values_in_the_report</f>
        <v>Valuta dei valori monetari nella relazione</v>
      </c>
      <c r="D5" s="940" t="s">
        <v>3825</v>
      </c>
      <c r="E5" s="941"/>
      <c r="F5" s="11" t="str">
        <f>IF(D5 = "", template_label_missing_value, template_label_ok)</f>
        <v>OK</v>
      </c>
      <c r="H5" s="52"/>
    </row>
    <row r="6" spans="1:11" ht="14.4" customHeight="1" x14ac:dyDescent="0.3">
      <c r="C6" s="245" t="str">
        <f>template_label_starting_year</f>
        <v>Anno di inizio</v>
      </c>
      <c r="D6" s="906">
        <v>2024</v>
      </c>
      <c r="E6" s="907"/>
      <c r="F6" s="728"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858" t="str">
        <f>template_label_date_warning</f>
        <v>ℹ️ Se sul lato destro appare il messaggio INCOERENZA DI VALORE, assicurarsi che la data di fine del periodo di riferimento sia successiva alla data di inizio del periodo di riferimento.</v>
      </c>
      <c r="H6" s="858"/>
      <c r="I6" s="858"/>
      <c r="J6" s="858"/>
      <c r="K6" s="858"/>
    </row>
    <row r="7" spans="1:11" ht="14.4" customHeight="1" x14ac:dyDescent="0.3">
      <c r="C7" s="140" t="str">
        <f>template_label_starting_month</f>
        <v>Mese di inizio</v>
      </c>
      <c r="D7" s="942">
        <v>1</v>
      </c>
      <c r="E7" s="943"/>
      <c r="F7" s="728"/>
      <c r="G7" s="858"/>
      <c r="H7" s="858"/>
      <c r="I7" s="858"/>
      <c r="J7" s="858"/>
      <c r="K7" s="858"/>
    </row>
    <row r="8" spans="1:11" ht="14.4" customHeight="1" x14ac:dyDescent="0.3">
      <c r="C8" s="140" t="str">
        <f>template_label_starting_day</f>
        <v>Giorno di inizio</v>
      </c>
      <c r="D8" s="869">
        <v>1</v>
      </c>
      <c r="E8" s="870"/>
      <c r="F8" s="728"/>
      <c r="G8" s="858"/>
      <c r="H8" s="858"/>
      <c r="I8" s="858"/>
      <c r="J8" s="858"/>
      <c r="K8" s="858"/>
    </row>
    <row r="9" spans="1:11" ht="14.4" customHeight="1" thickBot="1" x14ac:dyDescent="0.35">
      <c r="C9" s="121" t="str">
        <f>template_label_reporting_period_start_date</f>
        <v>Data di inizio del periodo di riferimento (gg-mm-aaaa)</v>
      </c>
      <c r="D9" s="904" t="str">
        <f>IF(OR(ISBLANK(D6), ISBLANK(D7), ISBLANK(D8)), "-", D6 &amp; "-" &amp; TEXT(D7, "00") &amp; "-" &amp; TEXT(D8, "00"))</f>
        <v>2024-01-01</v>
      </c>
      <c r="E9" s="905"/>
      <c r="F9"/>
      <c r="H9" s="52"/>
    </row>
    <row r="10" spans="1:11" ht="14.4" customHeight="1" x14ac:dyDescent="0.3">
      <c r="C10" s="245" t="str">
        <f>template_label_ending_year</f>
        <v>Anno di chiusura</v>
      </c>
      <c r="D10" s="906">
        <v>2024</v>
      </c>
      <c r="E10" s="907"/>
      <c r="F10" s="728"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858" t="str">
        <f>template_label_date_warning</f>
        <v>ℹ️ Se sul lato destro appare il messaggio INCOERENZA DI VALORE, assicurarsi che la data di fine del periodo di riferimento sia successiva alla data di inizio del periodo di riferimento.</v>
      </c>
      <c r="H10" s="858"/>
      <c r="I10" s="858"/>
      <c r="J10" s="858"/>
      <c r="K10" s="858"/>
    </row>
    <row r="11" spans="1:11" ht="14.4" customHeight="1" x14ac:dyDescent="0.3">
      <c r="C11" s="140" t="str">
        <f>template_label_ending_month</f>
        <v>Mese di chiusura</v>
      </c>
      <c r="D11" s="908">
        <v>12</v>
      </c>
      <c r="E11" s="909"/>
      <c r="F11" s="728"/>
      <c r="G11" s="858"/>
      <c r="H11" s="858"/>
      <c r="I11" s="858"/>
      <c r="J11" s="858"/>
      <c r="K11" s="858"/>
    </row>
    <row r="12" spans="1:11" ht="14.4" customHeight="1" x14ac:dyDescent="0.3">
      <c r="C12" s="140" t="s">
        <v>3060</v>
      </c>
      <c r="D12" s="910">
        <v>31</v>
      </c>
      <c r="E12" s="911"/>
      <c r="F12" s="728"/>
      <c r="G12" s="858"/>
      <c r="H12" s="858"/>
      <c r="I12" s="858"/>
      <c r="J12" s="858"/>
      <c r="K12" s="858"/>
    </row>
    <row r="13" spans="1:11" ht="14.4" customHeight="1" thickBot="1" x14ac:dyDescent="0.35">
      <c r="A13" s="88"/>
      <c r="B13" s="88"/>
      <c r="C13" s="121" t="str">
        <f>template_label_reporting_period_end_date</f>
        <v>Data di chiusura del periodo di riferimento (gg-mm-aaaa)</v>
      </c>
      <c r="D13" s="904" t="str">
        <f>IF(OR(ISBLANK(D10), ISBLANK(D11), ISBLANK(D12)), "-", D10 &amp; "-" &amp; TEXT(D11, "00") &amp; "-" &amp; TEXT(D12, "00"))</f>
        <v>2024-12-31</v>
      </c>
      <c r="E13" s="905"/>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934" t="str">
        <f>template_label_information_on_previous_reporting_period</f>
        <v>Informazioni sul periodo di riferimento precedente</v>
      </c>
      <c r="D16" s="935"/>
      <c r="E16" s="936"/>
    </row>
    <row r="17" spans="1:7" x14ac:dyDescent="0.3">
      <c r="A17" s="91"/>
      <c r="B17" s="88"/>
      <c r="C17" s="937">
        <v>16</v>
      </c>
      <c r="D17" s="938"/>
      <c r="E17" s="939"/>
      <c r="F17" s="246"/>
    </row>
    <row r="18" spans="1:7" ht="14.4" customHeight="1" x14ac:dyDescent="0.3">
      <c r="C18" s="652" t="str">
        <f>template_label_disclosures_from_the_previous_reporting_period_that_remain_unchanged</f>
        <v>Questa relazione contiene informative del periodo di riferimento precedente che rimangono invariate.</v>
      </c>
      <c r="D18" s="653"/>
      <c r="E18" s="57" t="b">
        <v>0</v>
      </c>
      <c r="F18" s="11" t="str">
        <f>IF(E18 = FALSE, "", template_label_ok)</f>
        <v/>
      </c>
    </row>
    <row r="19" spans="1:7" ht="14.4" customHeight="1" x14ac:dyDescent="0.3">
      <c r="C19" s="914" t="str">
        <f>template_label_disclosures_for_which_no_changes_are_reported_compared_to_the_previous_period_reporting</f>
        <v>Elenco delle informative per le quali non sono riportate variazioni rispetto al periodo di riferimento precedente</v>
      </c>
      <c r="D19" s="915"/>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20" spans="1:7" ht="14.4" customHeight="1" x14ac:dyDescent="0.3">
      <c r="C20" s="916"/>
      <c r="D20" s="917"/>
      <c r="E20" s="59"/>
      <c r="F20" s="11" t="str">
        <f t="shared" ref="F20:F27" si="0">IF($E$18 = FALSE, "",
IF(E20 = "", "",
IF(COUNTIF($E$19:$E$118, E20) &gt; 1, template_label_value_inconsistency, template_label_ok)))</f>
        <v/>
      </c>
    </row>
    <row r="21" spans="1:7" ht="14.4" customHeight="1" x14ac:dyDescent="0.3">
      <c r="C21" s="916"/>
      <c r="D21" s="917"/>
      <c r="E21" s="59"/>
      <c r="F21" s="11" t="str">
        <f t="shared" si="0"/>
        <v/>
      </c>
    </row>
    <row r="22" spans="1:7" ht="14.4" hidden="1" customHeight="1" outlineLevel="2" x14ac:dyDescent="0.3">
      <c r="C22" s="916"/>
      <c r="D22" s="917"/>
      <c r="E22" s="59"/>
      <c r="F22" s="11" t="str">
        <f t="shared" si="0"/>
        <v/>
      </c>
    </row>
    <row r="23" spans="1:7" ht="14.4" hidden="1" customHeight="1" outlineLevel="2" x14ac:dyDescent="0.3">
      <c r="C23" s="916"/>
      <c r="D23" s="917"/>
      <c r="E23" s="59"/>
      <c r="F23" s="11" t="str">
        <f t="shared" si="0"/>
        <v/>
      </c>
    </row>
    <row r="24" spans="1:7" ht="14.4" hidden="1" customHeight="1" outlineLevel="2" x14ac:dyDescent="0.3">
      <c r="C24" s="916"/>
      <c r="D24" s="917"/>
      <c r="E24" s="59"/>
      <c r="F24" s="11" t="str">
        <f t="shared" si="0"/>
        <v/>
      </c>
    </row>
    <row r="25" spans="1:7" ht="14.4" hidden="1" customHeight="1" outlineLevel="2" x14ac:dyDescent="0.3">
      <c r="C25" s="916"/>
      <c r="D25" s="917"/>
      <c r="E25" s="59"/>
      <c r="F25" s="11" t="str">
        <f t="shared" si="0"/>
        <v/>
      </c>
    </row>
    <row r="26" spans="1:7" ht="14.4" hidden="1" customHeight="1" outlineLevel="2" x14ac:dyDescent="0.3">
      <c r="C26" s="916"/>
      <c r="D26" s="917"/>
      <c r="E26" s="59"/>
      <c r="F26" s="11" t="str">
        <f t="shared" si="0"/>
        <v/>
      </c>
    </row>
    <row r="27" spans="1:7" ht="14.4" hidden="1" customHeight="1" outlineLevel="2" x14ac:dyDescent="0.3">
      <c r="C27" s="916"/>
      <c r="D27" s="917"/>
      <c r="E27" s="59"/>
      <c r="F27" s="11" t="str">
        <f t="shared" si="0"/>
        <v/>
      </c>
    </row>
    <row r="28" spans="1:7" ht="14.4" hidden="1" customHeight="1" outlineLevel="2" x14ac:dyDescent="0.3">
      <c r="C28" s="916"/>
      <c r="D28" s="917"/>
      <c r="E28" s="59"/>
      <c r="F28" s="11"/>
    </row>
    <row r="29" spans="1:7" ht="14.4" hidden="1" customHeight="1" outlineLevel="2" x14ac:dyDescent="0.3">
      <c r="C29" s="916"/>
      <c r="D29" s="917"/>
      <c r="E29" s="59"/>
      <c r="F29" s="11"/>
    </row>
    <row r="30" spans="1:7" ht="14.4" hidden="1" customHeight="1" outlineLevel="2" x14ac:dyDescent="0.3">
      <c r="C30" s="916"/>
      <c r="D30" s="917"/>
      <c r="E30" s="59"/>
      <c r="F30" s="11"/>
    </row>
    <row r="31" spans="1:7" ht="14.4" hidden="1" customHeight="1" outlineLevel="2" x14ac:dyDescent="0.3">
      <c r="C31" s="916"/>
      <c r="D31" s="917"/>
      <c r="E31" s="59"/>
      <c r="F31" s="11"/>
    </row>
    <row r="32" spans="1:7" ht="14.4" hidden="1" customHeight="1" outlineLevel="2" x14ac:dyDescent="0.3">
      <c r="C32" s="916"/>
      <c r="D32" s="917"/>
      <c r="E32" s="59"/>
      <c r="F32" s="11"/>
    </row>
    <row r="33" spans="3:6" ht="14.4" hidden="1" customHeight="1" outlineLevel="2" x14ac:dyDescent="0.3">
      <c r="C33" s="916"/>
      <c r="D33" s="917"/>
      <c r="E33" s="59"/>
      <c r="F33" s="11"/>
    </row>
    <row r="34" spans="3:6" ht="14.4" hidden="1" customHeight="1" outlineLevel="2" x14ac:dyDescent="0.3">
      <c r="C34" s="916"/>
      <c r="D34" s="917"/>
      <c r="E34" s="59"/>
      <c r="F34" s="11"/>
    </row>
    <row r="35" spans="3:6" ht="14.4" hidden="1" customHeight="1" outlineLevel="2" x14ac:dyDescent="0.3">
      <c r="C35" s="916"/>
      <c r="D35" s="917"/>
      <c r="E35" s="59"/>
      <c r="F35" s="11"/>
    </row>
    <row r="36" spans="3:6" ht="14.4" hidden="1" customHeight="1" outlineLevel="2" x14ac:dyDescent="0.3">
      <c r="C36" s="916"/>
      <c r="D36" s="917"/>
      <c r="E36" s="59"/>
      <c r="F36" s="11"/>
    </row>
    <row r="37" spans="3:6" ht="14.4" hidden="1" customHeight="1" outlineLevel="2" x14ac:dyDescent="0.3">
      <c r="C37" s="916"/>
      <c r="D37" s="917"/>
      <c r="E37" s="59"/>
      <c r="F37" s="11"/>
    </row>
    <row r="38" spans="3:6" ht="14.4" hidden="1" customHeight="1" outlineLevel="2" x14ac:dyDescent="0.3">
      <c r="C38" s="916"/>
      <c r="D38" s="917"/>
      <c r="E38" s="59"/>
      <c r="F38" s="11"/>
    </row>
    <row r="39" spans="3:6" ht="14.4" hidden="1" customHeight="1" outlineLevel="2" x14ac:dyDescent="0.3">
      <c r="C39" s="916"/>
      <c r="D39" s="917"/>
      <c r="E39" s="59"/>
      <c r="F39" s="11"/>
    </row>
    <row r="40" spans="3:6" ht="14.4" hidden="1" customHeight="1" outlineLevel="2" x14ac:dyDescent="0.3">
      <c r="C40" s="916"/>
      <c r="D40" s="917"/>
      <c r="E40" s="59"/>
      <c r="F40" s="11"/>
    </row>
    <row r="41" spans="3:6" ht="14.4" hidden="1" customHeight="1" outlineLevel="2" x14ac:dyDescent="0.3">
      <c r="C41" s="916"/>
      <c r="D41" s="917"/>
      <c r="E41" s="59"/>
      <c r="F41" s="11"/>
    </row>
    <row r="42" spans="3:6" ht="14.4" hidden="1" customHeight="1" outlineLevel="2" x14ac:dyDescent="0.3">
      <c r="C42" s="916"/>
      <c r="D42" s="917"/>
      <c r="E42" s="59"/>
      <c r="F42" s="11"/>
    </row>
    <row r="43" spans="3:6" ht="14.4" hidden="1" customHeight="1" outlineLevel="2" x14ac:dyDescent="0.3">
      <c r="C43" s="916"/>
      <c r="D43" s="917"/>
      <c r="E43" s="59"/>
      <c r="F43" s="11"/>
    </row>
    <row r="44" spans="3:6" ht="14.4" hidden="1" customHeight="1" outlineLevel="2" x14ac:dyDescent="0.3">
      <c r="C44" s="916"/>
      <c r="D44" s="917"/>
      <c r="E44" s="59"/>
      <c r="F44" s="11"/>
    </row>
    <row r="45" spans="3:6" ht="14.4" hidden="1" customHeight="1" outlineLevel="2" x14ac:dyDescent="0.3">
      <c r="C45" s="916"/>
      <c r="D45" s="917"/>
      <c r="E45" s="59"/>
      <c r="F45" s="11"/>
    </row>
    <row r="46" spans="3:6" ht="14.4" hidden="1" customHeight="1" outlineLevel="2" x14ac:dyDescent="0.3">
      <c r="C46" s="916"/>
      <c r="D46" s="917"/>
      <c r="E46" s="59"/>
      <c r="F46" s="11"/>
    </row>
    <row r="47" spans="3:6" ht="14.4" hidden="1" customHeight="1" outlineLevel="2" x14ac:dyDescent="0.3">
      <c r="C47" s="916"/>
      <c r="D47" s="917"/>
      <c r="E47" s="59"/>
      <c r="F47" s="11"/>
    </row>
    <row r="48" spans="3:6" ht="14.4" hidden="1" customHeight="1" outlineLevel="2" x14ac:dyDescent="0.3">
      <c r="C48" s="916"/>
      <c r="D48" s="917"/>
      <c r="E48" s="59"/>
      <c r="F48" s="11"/>
    </row>
    <row r="49" spans="3:6" ht="14.4" hidden="1" customHeight="1" outlineLevel="2" x14ac:dyDescent="0.3">
      <c r="C49" s="916"/>
      <c r="D49" s="917"/>
      <c r="E49" s="59"/>
      <c r="F49" s="11"/>
    </row>
    <row r="50" spans="3:6" ht="14.4" hidden="1" customHeight="1" outlineLevel="2" x14ac:dyDescent="0.3">
      <c r="C50" s="916"/>
      <c r="D50" s="917"/>
      <c r="E50" s="59"/>
      <c r="F50" s="11"/>
    </row>
    <row r="51" spans="3:6" ht="14.4" hidden="1" customHeight="1" outlineLevel="2" x14ac:dyDescent="0.3">
      <c r="C51" s="916"/>
      <c r="D51" s="917"/>
      <c r="E51" s="59"/>
      <c r="F51" s="11"/>
    </row>
    <row r="52" spans="3:6" ht="14.4" hidden="1" customHeight="1" outlineLevel="2" x14ac:dyDescent="0.3">
      <c r="C52" s="916"/>
      <c r="D52" s="917"/>
      <c r="E52" s="59"/>
      <c r="F52" s="11"/>
    </row>
    <row r="53" spans="3:6" ht="14.4" hidden="1" customHeight="1" outlineLevel="2" x14ac:dyDescent="0.3">
      <c r="C53" s="916"/>
      <c r="D53" s="917"/>
      <c r="E53" s="59"/>
      <c r="F53" s="11"/>
    </row>
    <row r="54" spans="3:6" ht="14.4" hidden="1" customHeight="1" outlineLevel="2" x14ac:dyDescent="0.3">
      <c r="C54" s="916"/>
      <c r="D54" s="917"/>
      <c r="E54" s="59"/>
      <c r="F54" s="11"/>
    </row>
    <row r="55" spans="3:6" ht="14.4" hidden="1" customHeight="1" outlineLevel="2" x14ac:dyDescent="0.3">
      <c r="C55" s="916"/>
      <c r="D55" s="917"/>
      <c r="E55" s="59"/>
      <c r="F55" s="11"/>
    </row>
    <row r="56" spans="3:6" ht="14.4" hidden="1" customHeight="1" outlineLevel="2" x14ac:dyDescent="0.3">
      <c r="C56" s="916"/>
      <c r="D56" s="917"/>
      <c r="E56" s="59"/>
      <c r="F56" s="11"/>
    </row>
    <row r="57" spans="3:6" ht="14.4" hidden="1" customHeight="1" outlineLevel="2" x14ac:dyDescent="0.3">
      <c r="C57" s="916"/>
      <c r="D57" s="917"/>
      <c r="E57" s="59"/>
      <c r="F57" s="11"/>
    </row>
    <row r="58" spans="3:6" ht="14.4" hidden="1" customHeight="1" outlineLevel="2" x14ac:dyDescent="0.3">
      <c r="C58" s="916"/>
      <c r="D58" s="917"/>
      <c r="E58" s="59"/>
      <c r="F58" s="11"/>
    </row>
    <row r="59" spans="3:6" ht="14.4" hidden="1" customHeight="1" outlineLevel="2" x14ac:dyDescent="0.3">
      <c r="C59" s="916"/>
      <c r="D59" s="917"/>
      <c r="E59" s="59"/>
      <c r="F59" s="11"/>
    </row>
    <row r="60" spans="3:6" ht="14.4" hidden="1" customHeight="1" outlineLevel="2" x14ac:dyDescent="0.3">
      <c r="C60" s="916"/>
      <c r="D60" s="917"/>
      <c r="E60" s="59"/>
      <c r="F60" s="11"/>
    </row>
    <row r="61" spans="3:6" ht="14.4" hidden="1" customHeight="1" outlineLevel="2" x14ac:dyDescent="0.3">
      <c r="C61" s="916"/>
      <c r="D61" s="917"/>
      <c r="E61" s="59"/>
      <c r="F61" s="11"/>
    </row>
    <row r="62" spans="3:6" ht="14.4" hidden="1" customHeight="1" outlineLevel="2" x14ac:dyDescent="0.3">
      <c r="C62" s="916"/>
      <c r="D62" s="917"/>
      <c r="E62" s="59"/>
      <c r="F62" s="11"/>
    </row>
    <row r="63" spans="3:6" ht="14.4" hidden="1" customHeight="1" outlineLevel="2" x14ac:dyDescent="0.3">
      <c r="C63" s="916"/>
      <c r="D63" s="917"/>
      <c r="E63" s="59"/>
      <c r="F63" s="11"/>
    </row>
    <row r="64" spans="3:6" ht="14.4" hidden="1" customHeight="1" outlineLevel="2" x14ac:dyDescent="0.3">
      <c r="C64" s="916"/>
      <c r="D64" s="917"/>
      <c r="E64" s="59"/>
      <c r="F64" s="11"/>
    </row>
    <row r="65" spans="3:6" ht="14.4" hidden="1" customHeight="1" outlineLevel="2" x14ac:dyDescent="0.3">
      <c r="C65" s="916"/>
      <c r="D65" s="917"/>
      <c r="E65" s="59"/>
      <c r="F65" s="11"/>
    </row>
    <row r="66" spans="3:6" ht="14.4" hidden="1" customHeight="1" outlineLevel="2" x14ac:dyDescent="0.3">
      <c r="C66" s="916"/>
      <c r="D66" s="917"/>
      <c r="E66" s="59"/>
      <c r="F66" s="11"/>
    </row>
    <row r="67" spans="3:6" ht="14.4" hidden="1" customHeight="1" outlineLevel="2" x14ac:dyDescent="0.3">
      <c r="C67" s="916"/>
      <c r="D67" s="917"/>
      <c r="E67" s="59"/>
      <c r="F67" s="11"/>
    </row>
    <row r="68" spans="3:6" ht="14.4" hidden="1" customHeight="1" outlineLevel="2" x14ac:dyDescent="0.3">
      <c r="C68" s="916"/>
      <c r="D68" s="917"/>
      <c r="E68" s="59"/>
      <c r="F68" s="11"/>
    </row>
    <row r="69" spans="3:6" ht="14.4" hidden="1" customHeight="1" outlineLevel="2" x14ac:dyDescent="0.3">
      <c r="C69" s="916"/>
      <c r="D69" s="917"/>
      <c r="E69" s="59"/>
      <c r="F69" s="11"/>
    </row>
    <row r="70" spans="3:6" ht="14.4" hidden="1" customHeight="1" outlineLevel="2" x14ac:dyDescent="0.3">
      <c r="C70" s="916"/>
      <c r="D70" s="917"/>
      <c r="E70" s="59"/>
      <c r="F70" s="11"/>
    </row>
    <row r="71" spans="3:6" ht="14.4" hidden="1" customHeight="1" outlineLevel="2" x14ac:dyDescent="0.3">
      <c r="C71" s="916"/>
      <c r="D71" s="917"/>
      <c r="E71" s="59"/>
      <c r="F71" s="11"/>
    </row>
    <row r="72" spans="3:6" ht="14.4" hidden="1" customHeight="1" outlineLevel="2" x14ac:dyDescent="0.3">
      <c r="C72" s="916"/>
      <c r="D72" s="917"/>
      <c r="E72" s="59"/>
      <c r="F72" s="11"/>
    </row>
    <row r="73" spans="3:6" ht="14.4" hidden="1" customHeight="1" outlineLevel="2" x14ac:dyDescent="0.3">
      <c r="C73" s="916"/>
      <c r="D73" s="917"/>
      <c r="E73" s="59"/>
      <c r="F73" s="11"/>
    </row>
    <row r="74" spans="3:6" ht="14.4" hidden="1" customHeight="1" outlineLevel="2" x14ac:dyDescent="0.3">
      <c r="C74" s="916"/>
      <c r="D74" s="917"/>
      <c r="E74" s="59"/>
      <c r="F74" s="11"/>
    </row>
    <row r="75" spans="3:6" ht="14.4" hidden="1" customHeight="1" outlineLevel="2" x14ac:dyDescent="0.3">
      <c r="C75" s="916"/>
      <c r="D75" s="917"/>
      <c r="E75" s="59"/>
      <c r="F75" s="11"/>
    </row>
    <row r="76" spans="3:6" ht="14.4" hidden="1" customHeight="1" outlineLevel="2" x14ac:dyDescent="0.3">
      <c r="C76" s="916"/>
      <c r="D76" s="917"/>
      <c r="E76" s="59"/>
      <c r="F76" s="11"/>
    </row>
    <row r="77" spans="3:6" ht="14.4" hidden="1" customHeight="1" outlineLevel="2" x14ac:dyDescent="0.3">
      <c r="C77" s="916"/>
      <c r="D77" s="917"/>
      <c r="E77" s="59"/>
      <c r="F77" s="11"/>
    </row>
    <row r="78" spans="3:6" ht="14.4" hidden="1" customHeight="1" outlineLevel="2" x14ac:dyDescent="0.3">
      <c r="C78" s="916"/>
      <c r="D78" s="917"/>
      <c r="E78" s="59"/>
      <c r="F78" s="11"/>
    </row>
    <row r="79" spans="3:6" ht="14.4" hidden="1" customHeight="1" outlineLevel="2" x14ac:dyDescent="0.3">
      <c r="C79" s="916"/>
      <c r="D79" s="917"/>
      <c r="E79" s="59"/>
      <c r="F79" s="11"/>
    </row>
    <row r="80" spans="3:6" ht="14.4" hidden="1" customHeight="1" outlineLevel="2" x14ac:dyDescent="0.3">
      <c r="C80" s="916"/>
      <c r="D80" s="917"/>
      <c r="E80" s="59"/>
      <c r="F80" s="11"/>
    </row>
    <row r="81" spans="3:6" ht="14.4" hidden="1" customHeight="1" outlineLevel="2" x14ac:dyDescent="0.3">
      <c r="C81" s="916"/>
      <c r="D81" s="917"/>
      <c r="E81" s="59"/>
      <c r="F81" s="11"/>
    </row>
    <row r="82" spans="3:6" ht="14.4" hidden="1" customHeight="1" outlineLevel="2" x14ac:dyDescent="0.3">
      <c r="C82" s="916"/>
      <c r="D82" s="917"/>
      <c r="E82" s="59"/>
      <c r="F82" s="11"/>
    </row>
    <row r="83" spans="3:6" ht="14.4" hidden="1" customHeight="1" outlineLevel="2" x14ac:dyDescent="0.3">
      <c r="C83" s="916"/>
      <c r="D83" s="917"/>
      <c r="E83" s="59"/>
      <c r="F83" s="11"/>
    </row>
    <row r="84" spans="3:6" ht="14.4" hidden="1" customHeight="1" outlineLevel="2" x14ac:dyDescent="0.3">
      <c r="C84" s="916"/>
      <c r="D84" s="917"/>
      <c r="E84" s="59"/>
      <c r="F84" s="11"/>
    </row>
    <row r="85" spans="3:6" ht="14.4" hidden="1" customHeight="1" outlineLevel="2" x14ac:dyDescent="0.3">
      <c r="C85" s="916"/>
      <c r="D85" s="917"/>
      <c r="E85" s="59"/>
      <c r="F85" s="11"/>
    </row>
    <row r="86" spans="3:6" ht="14.4" hidden="1" customHeight="1" outlineLevel="2" x14ac:dyDescent="0.3">
      <c r="C86" s="916"/>
      <c r="D86" s="917"/>
      <c r="E86" s="59"/>
      <c r="F86" s="11"/>
    </row>
    <row r="87" spans="3:6" ht="14.4" hidden="1" customHeight="1" outlineLevel="2" x14ac:dyDescent="0.3">
      <c r="C87" s="916"/>
      <c r="D87" s="917"/>
      <c r="E87" s="59"/>
      <c r="F87" s="11"/>
    </row>
    <row r="88" spans="3:6" ht="14.4" hidden="1" customHeight="1" outlineLevel="2" x14ac:dyDescent="0.3">
      <c r="C88" s="916"/>
      <c r="D88" s="917"/>
      <c r="E88" s="59"/>
      <c r="F88" s="11"/>
    </row>
    <row r="89" spans="3:6" ht="14.4" hidden="1" customHeight="1" outlineLevel="2" x14ac:dyDescent="0.3">
      <c r="C89" s="916"/>
      <c r="D89" s="917"/>
      <c r="E89" s="59"/>
      <c r="F89" s="11"/>
    </row>
    <row r="90" spans="3:6" ht="14.4" hidden="1" customHeight="1" outlineLevel="2" x14ac:dyDescent="0.3">
      <c r="C90" s="916"/>
      <c r="D90" s="917"/>
      <c r="E90" s="59"/>
      <c r="F90" s="11"/>
    </row>
    <row r="91" spans="3:6" ht="14.4" hidden="1" customHeight="1" outlineLevel="2" x14ac:dyDescent="0.3">
      <c r="C91" s="916"/>
      <c r="D91" s="917"/>
      <c r="E91" s="59"/>
      <c r="F91" s="11"/>
    </row>
    <row r="92" spans="3:6" ht="14.4" hidden="1" customHeight="1" outlineLevel="2" x14ac:dyDescent="0.3">
      <c r="C92" s="916"/>
      <c r="D92" s="917"/>
      <c r="E92" s="59"/>
      <c r="F92" s="11"/>
    </row>
    <row r="93" spans="3:6" ht="14.4" hidden="1" customHeight="1" outlineLevel="2" x14ac:dyDescent="0.3">
      <c r="C93" s="916"/>
      <c r="D93" s="917"/>
      <c r="E93" s="59"/>
      <c r="F93" s="11"/>
    </row>
    <row r="94" spans="3:6" ht="14.4" hidden="1" customHeight="1" outlineLevel="2" x14ac:dyDescent="0.3">
      <c r="C94" s="916"/>
      <c r="D94" s="917"/>
      <c r="E94" s="59"/>
      <c r="F94" s="11"/>
    </row>
    <row r="95" spans="3:6" ht="14.4" hidden="1" customHeight="1" outlineLevel="2" x14ac:dyDescent="0.3">
      <c r="C95" s="916"/>
      <c r="D95" s="917"/>
      <c r="E95" s="59"/>
      <c r="F95" s="11"/>
    </row>
    <row r="96" spans="3:6" ht="14.4" hidden="1" customHeight="1" outlineLevel="2" x14ac:dyDescent="0.3">
      <c r="C96" s="916"/>
      <c r="D96" s="917"/>
      <c r="E96" s="59"/>
      <c r="F96" s="11"/>
    </row>
    <row r="97" spans="3:6" ht="14.4" hidden="1" customHeight="1" outlineLevel="2" x14ac:dyDescent="0.3">
      <c r="C97" s="916"/>
      <c r="D97" s="917"/>
      <c r="E97" s="59"/>
      <c r="F97" s="11"/>
    </row>
    <row r="98" spans="3:6" ht="14.4" hidden="1" customHeight="1" outlineLevel="2" x14ac:dyDescent="0.3">
      <c r="C98" s="916"/>
      <c r="D98" s="917"/>
      <c r="E98" s="59"/>
      <c r="F98" s="11"/>
    </row>
    <row r="99" spans="3:6" ht="14.4" hidden="1" customHeight="1" outlineLevel="2" x14ac:dyDescent="0.3">
      <c r="C99" s="916"/>
      <c r="D99" s="917"/>
      <c r="E99" s="59"/>
      <c r="F99" s="11"/>
    </row>
    <row r="100" spans="3:6" ht="14.4" hidden="1" customHeight="1" outlineLevel="2" x14ac:dyDescent="0.3">
      <c r="C100" s="916"/>
      <c r="D100" s="917"/>
      <c r="E100" s="59"/>
      <c r="F100" s="11"/>
    </row>
    <row r="101" spans="3:6" ht="14.4" hidden="1" customHeight="1" outlineLevel="2" x14ac:dyDescent="0.3">
      <c r="C101" s="916"/>
      <c r="D101" s="917"/>
      <c r="E101" s="59"/>
      <c r="F101" s="11"/>
    </row>
    <row r="102" spans="3:6" ht="14.4" hidden="1" customHeight="1" outlineLevel="2" x14ac:dyDescent="0.3">
      <c r="C102" s="916"/>
      <c r="D102" s="917"/>
      <c r="E102" s="59"/>
      <c r="F102" s="11"/>
    </row>
    <row r="103" spans="3:6" ht="14.4" hidden="1" customHeight="1" outlineLevel="2" x14ac:dyDescent="0.3">
      <c r="C103" s="916"/>
      <c r="D103" s="917"/>
      <c r="E103" s="59"/>
      <c r="F103" s="11"/>
    </row>
    <row r="104" spans="3:6" ht="14.4" hidden="1" customHeight="1" outlineLevel="2" x14ac:dyDescent="0.3">
      <c r="C104" s="916"/>
      <c r="D104" s="917"/>
      <c r="E104" s="59"/>
      <c r="F104" s="11"/>
    </row>
    <row r="105" spans="3:6" ht="14.4" hidden="1" customHeight="1" outlineLevel="2" x14ac:dyDescent="0.3">
      <c r="C105" s="916"/>
      <c r="D105" s="917"/>
      <c r="E105" s="59"/>
      <c r="F105" s="11"/>
    </row>
    <row r="106" spans="3:6" ht="14.4" hidden="1" customHeight="1" outlineLevel="2" x14ac:dyDescent="0.3">
      <c r="C106" s="916"/>
      <c r="D106" s="917"/>
      <c r="E106" s="59"/>
      <c r="F106" s="11"/>
    </row>
    <row r="107" spans="3:6" ht="14.4" hidden="1" customHeight="1" outlineLevel="2" x14ac:dyDescent="0.3">
      <c r="C107" s="916"/>
      <c r="D107" s="917"/>
      <c r="E107" s="59"/>
      <c r="F107" s="11"/>
    </row>
    <row r="108" spans="3:6" ht="14.4" hidden="1" customHeight="1" outlineLevel="2" x14ac:dyDescent="0.3">
      <c r="C108" s="916"/>
      <c r="D108" s="917"/>
      <c r="E108" s="59"/>
      <c r="F108" s="11"/>
    </row>
    <row r="109" spans="3:6" ht="14.4" hidden="1" customHeight="1" outlineLevel="2" x14ac:dyDescent="0.3">
      <c r="C109" s="916"/>
      <c r="D109" s="917"/>
      <c r="E109" s="59"/>
      <c r="F109" s="11"/>
    </row>
    <row r="110" spans="3:6" ht="14.4" hidden="1" customHeight="1" outlineLevel="2" x14ac:dyDescent="0.3">
      <c r="C110" s="916"/>
      <c r="D110" s="917"/>
      <c r="E110" s="59"/>
      <c r="F110" s="11"/>
    </row>
    <row r="111" spans="3:6" ht="14.4" hidden="1" customHeight="1" outlineLevel="2" x14ac:dyDescent="0.3">
      <c r="C111" s="916"/>
      <c r="D111" s="917"/>
      <c r="E111" s="59"/>
      <c r="F111" s="11"/>
    </row>
    <row r="112" spans="3:6" ht="14.4" hidden="1" customHeight="1" outlineLevel="2" x14ac:dyDescent="0.3">
      <c r="C112" s="916"/>
      <c r="D112" s="917"/>
      <c r="E112" s="59"/>
      <c r="F112" s="11"/>
    </row>
    <row r="113" spans="1:6" ht="14.4" hidden="1" customHeight="1" outlineLevel="2" x14ac:dyDescent="0.3">
      <c r="C113" s="916"/>
      <c r="D113" s="917"/>
      <c r="E113" s="59"/>
      <c r="F113" s="11"/>
    </row>
    <row r="114" spans="1:6" ht="14.4" hidden="1" customHeight="1" outlineLevel="2" x14ac:dyDescent="0.3">
      <c r="C114" s="916"/>
      <c r="D114" s="917"/>
      <c r="E114" s="59"/>
      <c r="F114" s="11"/>
    </row>
    <row r="115" spans="1:6" ht="14.4" hidden="1" customHeight="1" outlineLevel="2" x14ac:dyDescent="0.3">
      <c r="C115" s="916"/>
      <c r="D115" s="917"/>
      <c r="E115" s="59"/>
      <c r="F115" s="11"/>
    </row>
    <row r="116" spans="1:6" ht="14.4" hidden="1" customHeight="1" outlineLevel="2" x14ac:dyDescent="0.3">
      <c r="C116" s="916"/>
      <c r="D116" s="917"/>
      <c r="E116" s="59"/>
      <c r="F116" s="11"/>
    </row>
    <row r="117" spans="1:6" ht="14.4" hidden="1" customHeight="1" outlineLevel="2" x14ac:dyDescent="0.3">
      <c r="C117" s="916"/>
      <c r="D117" s="917"/>
      <c r="E117" s="59"/>
      <c r="F117" s="11"/>
    </row>
    <row r="118" spans="1:6" ht="14.4" hidden="1" customHeight="1" outlineLevel="2" x14ac:dyDescent="0.3">
      <c r="C118" s="916"/>
      <c r="D118" s="917"/>
      <c r="E118" s="59"/>
      <c r="F118" s="11"/>
    </row>
    <row r="119" spans="1:6" ht="14.4" customHeight="1" collapsed="1" thickBot="1" x14ac:dyDescent="0.35">
      <c r="A119" s="92"/>
      <c r="B119" s="92"/>
      <c r="C119" s="871" t="str">
        <f>template_label_link_to_previous_report_containing_disclosures_that_remain_unchanged</f>
        <v>Collegamento alla relazione precedente contenente le informative che rimangono invariate</v>
      </c>
      <c r="D119" s="872"/>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592"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Criteri per la redazione e informazioni generali dell'impresa da 2024-01-01 a 2024-12-31 [Sempre da riportare]</v>
      </c>
      <c r="D121" s="912"/>
      <c r="E121" s="913"/>
      <c r="F121"/>
    </row>
    <row r="122" spans="1:6" ht="28.8" x14ac:dyDescent="0.3">
      <c r="A122" s="442" t="s">
        <v>3730</v>
      </c>
      <c r="B122" s="466" t="s">
        <v>1</v>
      </c>
      <c r="C122" s="891" t="str">
        <f>template_label_basis_for_preparation</f>
        <v>Criteri per la redazione (Solo Modulo Base o Modulo Base &amp; Modulo Onnicomprensivo)</v>
      </c>
      <c r="D122" s="892"/>
      <c r="E122" s="60" t="s">
        <v>9542</v>
      </c>
      <c r="F122" s="11" t="str">
        <f>IF(E122 = "", template_label_missing_value, template_label_ok)</f>
        <v>OK</v>
      </c>
    </row>
    <row r="123" spans="1:6" ht="14.4" customHeight="1" x14ac:dyDescent="0.3">
      <c r="A123" s="924" t="s">
        <v>3731</v>
      </c>
      <c r="B123" s="922" t="s">
        <v>1</v>
      </c>
      <c r="C123" s="918" t="str">
        <f>template_label_list_of_omitted_disclosures_deemed_to_be_classified_or_sensitive_information</f>
        <v>Elenco delle informative omesse considerate come informazioni classificate o sensibili</v>
      </c>
      <c r="D123" s="919"/>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925"/>
      <c r="B124" s="923"/>
      <c r="C124" s="920"/>
      <c r="D124" s="921"/>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925"/>
      <c r="B125" s="923"/>
      <c r="C125" s="920"/>
      <c r="D125" s="921"/>
      <c r="E125" s="61"/>
      <c r="F125" s="11" t="str">
        <f t="shared" si="1"/>
        <v/>
      </c>
    </row>
    <row r="126" spans="1:6" ht="14.4" hidden="1" customHeight="1" outlineLevel="1" x14ac:dyDescent="0.3">
      <c r="A126" s="925"/>
      <c r="B126" s="923"/>
      <c r="C126" s="920"/>
      <c r="D126" s="921"/>
      <c r="E126" s="61"/>
      <c r="F126" s="11" t="str">
        <f t="shared" si="1"/>
        <v/>
      </c>
    </row>
    <row r="127" spans="1:6" ht="14.4" hidden="1" customHeight="1" outlineLevel="1" x14ac:dyDescent="0.3">
      <c r="A127" s="925"/>
      <c r="B127" s="923"/>
      <c r="C127" s="920"/>
      <c r="D127" s="921"/>
      <c r="E127" s="61"/>
      <c r="F127" s="11" t="str">
        <f t="shared" si="1"/>
        <v/>
      </c>
    </row>
    <row r="128" spans="1:6" ht="14.4" hidden="1" customHeight="1" outlineLevel="1" x14ac:dyDescent="0.3">
      <c r="A128" s="925"/>
      <c r="B128" s="923"/>
      <c r="C128" s="920"/>
      <c r="D128" s="921"/>
      <c r="E128" s="61"/>
      <c r="F128" s="11" t="str">
        <f t="shared" si="1"/>
        <v/>
      </c>
    </row>
    <row r="129" spans="1:6" ht="14.4" hidden="1" customHeight="1" outlineLevel="1" x14ac:dyDescent="0.3">
      <c r="A129" s="925"/>
      <c r="B129" s="923"/>
      <c r="C129" s="920"/>
      <c r="D129" s="921"/>
      <c r="E129" s="61"/>
      <c r="F129" s="11" t="str">
        <f t="shared" si="1"/>
        <v/>
      </c>
    </row>
    <row r="130" spans="1:6" ht="14.4" hidden="1" customHeight="1" outlineLevel="1" x14ac:dyDescent="0.3">
      <c r="A130" s="925"/>
      <c r="B130" s="923"/>
      <c r="C130" s="920"/>
      <c r="D130" s="921"/>
      <c r="E130" s="61"/>
      <c r="F130" s="11" t="str">
        <f t="shared" si="1"/>
        <v/>
      </c>
    </row>
    <row r="131" spans="1:6" ht="14.4" hidden="1" customHeight="1" outlineLevel="1" x14ac:dyDescent="0.3">
      <c r="A131" s="925"/>
      <c r="B131" s="923"/>
      <c r="C131" s="920"/>
      <c r="D131" s="921"/>
      <c r="E131" s="61"/>
      <c r="F131" s="11" t="str">
        <f t="shared" si="1"/>
        <v/>
      </c>
    </row>
    <row r="132" spans="1:6" ht="14.4" hidden="1" customHeight="1" outlineLevel="1" x14ac:dyDescent="0.3">
      <c r="A132" s="925"/>
      <c r="B132" s="923"/>
      <c r="C132" s="920"/>
      <c r="D132" s="921"/>
      <c r="E132" s="61"/>
      <c r="F132" s="11" t="str">
        <f t="shared" si="1"/>
        <v/>
      </c>
    </row>
    <row r="133" spans="1:6" ht="14.4" hidden="1" customHeight="1" outlineLevel="1" x14ac:dyDescent="0.3">
      <c r="A133" s="925"/>
      <c r="B133" s="923"/>
      <c r="C133" s="920"/>
      <c r="D133" s="921"/>
      <c r="E133" s="61"/>
      <c r="F133" s="11" t="str">
        <f t="shared" si="1"/>
        <v/>
      </c>
    </row>
    <row r="134" spans="1:6" ht="14.4" hidden="1" customHeight="1" outlineLevel="1" x14ac:dyDescent="0.3">
      <c r="A134" s="925"/>
      <c r="B134" s="923"/>
      <c r="C134" s="920"/>
      <c r="D134" s="921"/>
      <c r="E134" s="61"/>
      <c r="F134" s="11" t="str">
        <f t="shared" si="1"/>
        <v/>
      </c>
    </row>
    <row r="135" spans="1:6" ht="14.4" hidden="1" customHeight="1" outlineLevel="1" x14ac:dyDescent="0.3">
      <c r="A135" s="925"/>
      <c r="B135" s="923"/>
      <c r="C135" s="920"/>
      <c r="D135" s="921"/>
      <c r="E135" s="61"/>
      <c r="F135" s="11" t="str">
        <f t="shared" si="1"/>
        <v/>
      </c>
    </row>
    <row r="136" spans="1:6" ht="14.4" hidden="1" customHeight="1" outlineLevel="1" x14ac:dyDescent="0.3">
      <c r="A136" s="925"/>
      <c r="B136" s="923"/>
      <c r="C136" s="920"/>
      <c r="D136" s="921"/>
      <c r="E136" s="61"/>
      <c r="F136" s="11" t="str">
        <f t="shared" si="1"/>
        <v/>
      </c>
    </row>
    <row r="137" spans="1:6" ht="14.4" hidden="1" customHeight="1" outlineLevel="1" x14ac:dyDescent="0.3">
      <c r="A137" s="925"/>
      <c r="B137" s="923"/>
      <c r="C137" s="920"/>
      <c r="D137" s="921"/>
      <c r="E137" s="61"/>
      <c r="F137" s="11" t="str">
        <f t="shared" si="1"/>
        <v/>
      </c>
    </row>
    <row r="138" spans="1:6" ht="14.4" hidden="1" customHeight="1" outlineLevel="1" x14ac:dyDescent="0.3">
      <c r="A138" s="925"/>
      <c r="B138" s="923"/>
      <c r="C138" s="920"/>
      <c r="D138" s="921"/>
      <c r="E138" s="61"/>
      <c r="F138" s="11" t="str">
        <f t="shared" si="1"/>
        <v/>
      </c>
    </row>
    <row r="139" spans="1:6" ht="14.4" hidden="1" customHeight="1" outlineLevel="1" x14ac:dyDescent="0.3">
      <c r="A139" s="925"/>
      <c r="B139" s="923"/>
      <c r="C139" s="920"/>
      <c r="D139" s="921"/>
      <c r="E139" s="61"/>
      <c r="F139" s="11" t="str">
        <f t="shared" si="1"/>
        <v/>
      </c>
    </row>
    <row r="140" spans="1:6" ht="14.4" hidden="1" customHeight="1" outlineLevel="1" x14ac:dyDescent="0.3">
      <c r="A140" s="925"/>
      <c r="B140" s="923"/>
      <c r="C140" s="920"/>
      <c r="D140" s="921"/>
      <c r="E140" s="61"/>
      <c r="F140" s="11" t="str">
        <f t="shared" si="1"/>
        <v/>
      </c>
    </row>
    <row r="141" spans="1:6" ht="14.4" hidden="1" customHeight="1" outlineLevel="1" x14ac:dyDescent="0.3">
      <c r="A141" s="925"/>
      <c r="B141" s="923"/>
      <c r="C141" s="920"/>
      <c r="D141" s="921"/>
      <c r="E141" s="61"/>
      <c r="F141" s="11" t="str">
        <f t="shared" si="1"/>
        <v/>
      </c>
    </row>
    <row r="142" spans="1:6" ht="14.4" hidden="1" customHeight="1" outlineLevel="1" x14ac:dyDescent="0.3">
      <c r="A142" s="925"/>
      <c r="B142" s="923"/>
      <c r="C142" s="920"/>
      <c r="D142" s="921"/>
      <c r="E142" s="61"/>
      <c r="F142" s="11" t="str">
        <f t="shared" si="1"/>
        <v/>
      </c>
    </row>
    <row r="143" spans="1:6" ht="14.4" hidden="1" customHeight="1" outlineLevel="1" x14ac:dyDescent="0.3">
      <c r="A143" s="925"/>
      <c r="B143" s="923"/>
      <c r="C143" s="920"/>
      <c r="D143" s="921"/>
      <c r="E143" s="61"/>
      <c r="F143" s="11" t="str">
        <f t="shared" si="1"/>
        <v/>
      </c>
    </row>
    <row r="144" spans="1:6" ht="14.4" hidden="1" customHeight="1" outlineLevel="1" x14ac:dyDescent="0.3">
      <c r="A144" s="925"/>
      <c r="B144" s="923"/>
      <c r="C144" s="920"/>
      <c r="D144" s="921"/>
      <c r="E144" s="61"/>
      <c r="F144" s="11" t="str">
        <f t="shared" si="1"/>
        <v/>
      </c>
    </row>
    <row r="145" spans="1:6" ht="14.4" hidden="1" customHeight="1" outlineLevel="1" x14ac:dyDescent="0.3">
      <c r="A145" s="925"/>
      <c r="B145" s="923"/>
      <c r="C145" s="920"/>
      <c r="D145" s="921"/>
      <c r="E145" s="61"/>
      <c r="F145" s="11" t="str">
        <f t="shared" si="1"/>
        <v/>
      </c>
    </row>
    <row r="146" spans="1:6" ht="14.4" hidden="1" customHeight="1" outlineLevel="1" x14ac:dyDescent="0.3">
      <c r="A146" s="925"/>
      <c r="B146" s="923"/>
      <c r="C146" s="920"/>
      <c r="D146" s="921"/>
      <c r="E146" s="61"/>
      <c r="F146" s="11" t="str">
        <f t="shared" si="1"/>
        <v/>
      </c>
    </row>
    <row r="147" spans="1:6" ht="14.4" hidden="1" customHeight="1" outlineLevel="1" x14ac:dyDescent="0.3">
      <c r="A147" s="925"/>
      <c r="B147" s="923"/>
      <c r="C147" s="920"/>
      <c r="D147" s="921"/>
      <c r="E147" s="61"/>
      <c r="F147" s="11" t="str">
        <f t="shared" si="1"/>
        <v/>
      </c>
    </row>
    <row r="148" spans="1:6" ht="14.4" hidden="1" customHeight="1" outlineLevel="1" x14ac:dyDescent="0.3">
      <c r="A148" s="925"/>
      <c r="B148" s="923"/>
      <c r="C148" s="920"/>
      <c r="D148" s="921"/>
      <c r="E148" s="61"/>
      <c r="F148" s="11" t="str">
        <f t="shared" si="1"/>
        <v/>
      </c>
    </row>
    <row r="149" spans="1:6" ht="14.4" hidden="1" customHeight="1" outlineLevel="1" x14ac:dyDescent="0.3">
      <c r="A149" s="925"/>
      <c r="B149" s="923"/>
      <c r="C149" s="920"/>
      <c r="D149" s="921"/>
      <c r="E149" s="61"/>
      <c r="F149" s="11" t="str">
        <f t="shared" si="1"/>
        <v/>
      </c>
    </row>
    <row r="150" spans="1:6" ht="14.4" hidden="1" customHeight="1" outlineLevel="1" x14ac:dyDescent="0.3">
      <c r="A150" s="925"/>
      <c r="B150" s="923"/>
      <c r="C150" s="920"/>
      <c r="D150" s="921"/>
      <c r="E150" s="61"/>
      <c r="F150" s="11" t="str">
        <f t="shared" si="1"/>
        <v/>
      </c>
    </row>
    <row r="151" spans="1:6" ht="14.4" hidden="1" customHeight="1" outlineLevel="1" x14ac:dyDescent="0.3">
      <c r="A151" s="925"/>
      <c r="B151" s="923"/>
      <c r="C151" s="920"/>
      <c r="D151" s="921"/>
      <c r="E151" s="61"/>
      <c r="F151" s="11" t="str">
        <f t="shared" si="1"/>
        <v/>
      </c>
    </row>
    <row r="152" spans="1:6" ht="14.4" hidden="1" customHeight="1" outlineLevel="1" x14ac:dyDescent="0.3">
      <c r="A152" s="925"/>
      <c r="B152" s="923"/>
      <c r="C152" s="920"/>
      <c r="D152" s="921"/>
      <c r="E152" s="61"/>
      <c r="F152" s="11" t="str">
        <f t="shared" si="1"/>
        <v/>
      </c>
    </row>
    <row r="153" spans="1:6" ht="14.4" hidden="1" customHeight="1" outlineLevel="1" x14ac:dyDescent="0.3">
      <c r="A153" s="925"/>
      <c r="B153" s="923"/>
      <c r="C153" s="920"/>
      <c r="D153" s="921"/>
      <c r="E153" s="61"/>
      <c r="F153" s="11" t="str">
        <f t="shared" si="1"/>
        <v/>
      </c>
    </row>
    <row r="154" spans="1:6" ht="14.4" hidden="1" customHeight="1" outlineLevel="1" x14ac:dyDescent="0.3">
      <c r="A154" s="925"/>
      <c r="B154" s="923"/>
      <c r="C154" s="920"/>
      <c r="D154" s="921"/>
      <c r="E154" s="61"/>
      <c r="F154" s="11" t="str">
        <f t="shared" si="1"/>
        <v/>
      </c>
    </row>
    <row r="155" spans="1:6" ht="14.4" hidden="1" customHeight="1" outlineLevel="1" x14ac:dyDescent="0.3">
      <c r="A155" s="925"/>
      <c r="B155" s="923"/>
      <c r="C155" s="920"/>
      <c r="D155" s="921"/>
      <c r="E155" s="61"/>
      <c r="F155" s="11" t="str">
        <f t="shared" si="1"/>
        <v/>
      </c>
    </row>
    <row r="156" spans="1:6" ht="14.4" hidden="1" customHeight="1" outlineLevel="1" x14ac:dyDescent="0.3">
      <c r="A156" s="925"/>
      <c r="B156" s="923"/>
      <c r="C156" s="920"/>
      <c r="D156" s="921"/>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925"/>
      <c r="B157" s="923"/>
      <c r="C157" s="920"/>
      <c r="D157" s="921"/>
      <c r="E157" s="61"/>
      <c r="F157" s="11" t="str">
        <f t="shared" si="2"/>
        <v/>
      </c>
    </row>
    <row r="158" spans="1:6" ht="14.4" hidden="1" customHeight="1" outlineLevel="1" x14ac:dyDescent="0.3">
      <c r="A158" s="925"/>
      <c r="B158" s="923"/>
      <c r="C158" s="920"/>
      <c r="D158" s="921"/>
      <c r="E158" s="61"/>
      <c r="F158" s="11" t="str">
        <f t="shared" si="2"/>
        <v/>
      </c>
    </row>
    <row r="159" spans="1:6" ht="14.4" hidden="1" customHeight="1" outlineLevel="1" x14ac:dyDescent="0.3">
      <c r="A159" s="925"/>
      <c r="B159" s="923"/>
      <c r="C159" s="920"/>
      <c r="D159" s="921"/>
      <c r="E159" s="61"/>
      <c r="F159" s="11" t="str">
        <f t="shared" si="2"/>
        <v/>
      </c>
    </row>
    <row r="160" spans="1:6" ht="14.4" hidden="1" customHeight="1" outlineLevel="1" x14ac:dyDescent="0.3">
      <c r="A160" s="925"/>
      <c r="B160" s="923"/>
      <c r="C160" s="920"/>
      <c r="D160" s="921"/>
      <c r="E160" s="61"/>
      <c r="F160" s="11" t="str">
        <f t="shared" si="2"/>
        <v/>
      </c>
    </row>
    <row r="161" spans="1:6" ht="14.4" hidden="1" customHeight="1" outlineLevel="1" x14ac:dyDescent="0.3">
      <c r="A161" s="925"/>
      <c r="B161" s="923"/>
      <c r="C161" s="920"/>
      <c r="D161" s="921"/>
      <c r="E161" s="61"/>
      <c r="F161" s="11" t="str">
        <f t="shared" si="2"/>
        <v/>
      </c>
    </row>
    <row r="162" spans="1:6" ht="14.4" hidden="1" customHeight="1" outlineLevel="1" x14ac:dyDescent="0.3">
      <c r="A162" s="925"/>
      <c r="B162" s="923"/>
      <c r="C162" s="920"/>
      <c r="D162" s="921"/>
      <c r="E162" s="61"/>
      <c r="F162" s="11" t="str">
        <f t="shared" si="2"/>
        <v/>
      </c>
    </row>
    <row r="163" spans="1:6" ht="14.4" hidden="1" customHeight="1" outlineLevel="1" x14ac:dyDescent="0.3">
      <c r="A163" s="925"/>
      <c r="B163" s="923"/>
      <c r="C163" s="920"/>
      <c r="D163" s="921"/>
      <c r="E163" s="61"/>
      <c r="F163" s="11" t="str">
        <f t="shared" si="2"/>
        <v/>
      </c>
    </row>
    <row r="164" spans="1:6" ht="14.4" hidden="1" customHeight="1" outlineLevel="1" x14ac:dyDescent="0.3">
      <c r="A164" s="925"/>
      <c r="B164" s="923"/>
      <c r="C164" s="920"/>
      <c r="D164" s="921"/>
      <c r="E164" s="61"/>
      <c r="F164" s="11" t="str">
        <f t="shared" si="2"/>
        <v/>
      </c>
    </row>
    <row r="165" spans="1:6" ht="14.4" hidden="1" customHeight="1" outlineLevel="1" x14ac:dyDescent="0.3">
      <c r="A165" s="925"/>
      <c r="B165" s="923"/>
      <c r="C165" s="920"/>
      <c r="D165" s="921"/>
      <c r="E165" s="61"/>
      <c r="F165" s="11" t="str">
        <f t="shared" si="2"/>
        <v/>
      </c>
    </row>
    <row r="166" spans="1:6" ht="14.4" hidden="1" customHeight="1" outlineLevel="1" x14ac:dyDescent="0.3">
      <c r="A166" s="925"/>
      <c r="B166" s="923"/>
      <c r="C166" s="920"/>
      <c r="D166" s="921"/>
      <c r="E166" s="61"/>
      <c r="F166" s="11" t="str">
        <f t="shared" si="2"/>
        <v/>
      </c>
    </row>
    <row r="167" spans="1:6" ht="14.4" hidden="1" customHeight="1" outlineLevel="1" x14ac:dyDescent="0.3">
      <c r="A167" s="925"/>
      <c r="B167" s="923"/>
      <c r="C167" s="920"/>
      <c r="D167" s="921"/>
      <c r="E167" s="61"/>
      <c r="F167" s="11" t="str">
        <f t="shared" si="2"/>
        <v/>
      </c>
    </row>
    <row r="168" spans="1:6" ht="14.4" hidden="1" customHeight="1" outlineLevel="1" x14ac:dyDescent="0.3">
      <c r="A168" s="925"/>
      <c r="B168" s="923"/>
      <c r="C168" s="920"/>
      <c r="D168" s="921"/>
      <c r="E168" s="61"/>
      <c r="F168" s="11" t="str">
        <f t="shared" si="2"/>
        <v/>
      </c>
    </row>
    <row r="169" spans="1:6" ht="14.4" hidden="1" customHeight="1" outlineLevel="1" x14ac:dyDescent="0.3">
      <c r="A169" s="925"/>
      <c r="B169" s="923"/>
      <c r="C169" s="920"/>
      <c r="D169" s="921"/>
      <c r="E169" s="61"/>
      <c r="F169" s="11" t="str">
        <f t="shared" si="2"/>
        <v/>
      </c>
    </row>
    <row r="170" spans="1:6" ht="14.4" hidden="1" customHeight="1" outlineLevel="1" x14ac:dyDescent="0.3">
      <c r="A170" s="925"/>
      <c r="B170" s="923"/>
      <c r="C170" s="920"/>
      <c r="D170" s="921"/>
      <c r="E170" s="61"/>
      <c r="F170" s="11" t="str">
        <f t="shared" si="2"/>
        <v/>
      </c>
    </row>
    <row r="171" spans="1:6" ht="14.4" hidden="1" customHeight="1" outlineLevel="1" x14ac:dyDescent="0.3">
      <c r="A171" s="925"/>
      <c r="B171" s="923"/>
      <c r="C171" s="920"/>
      <c r="D171" s="921"/>
      <c r="E171" s="61"/>
      <c r="F171" s="11" t="str">
        <f t="shared" si="2"/>
        <v/>
      </c>
    </row>
    <row r="172" spans="1:6" ht="14.4" hidden="1" customHeight="1" outlineLevel="1" x14ac:dyDescent="0.3">
      <c r="A172" s="925"/>
      <c r="B172" s="923"/>
      <c r="C172" s="920"/>
      <c r="D172" s="921"/>
      <c r="E172" s="61"/>
      <c r="F172" s="11" t="str">
        <f t="shared" si="2"/>
        <v/>
      </c>
    </row>
    <row r="173" spans="1:6" ht="14.4" hidden="1" customHeight="1" outlineLevel="1" x14ac:dyDescent="0.3">
      <c r="A173" s="925"/>
      <c r="B173" s="923"/>
      <c r="C173" s="920"/>
      <c r="D173" s="921"/>
      <c r="E173" s="61"/>
      <c r="F173" s="11" t="str">
        <f t="shared" si="2"/>
        <v/>
      </c>
    </row>
    <row r="174" spans="1:6" ht="14.4" hidden="1" customHeight="1" outlineLevel="1" x14ac:dyDescent="0.3">
      <c r="A174" s="925"/>
      <c r="B174" s="923"/>
      <c r="C174" s="920"/>
      <c r="D174" s="921"/>
      <c r="E174" s="61"/>
      <c r="F174" s="11" t="str">
        <f t="shared" si="2"/>
        <v/>
      </c>
    </row>
    <row r="175" spans="1:6" ht="14.4" hidden="1" customHeight="1" outlineLevel="1" x14ac:dyDescent="0.3">
      <c r="A175" s="925"/>
      <c r="B175" s="923"/>
      <c r="C175" s="920"/>
      <c r="D175" s="921"/>
      <c r="E175" s="61"/>
      <c r="F175" s="11" t="str">
        <f t="shared" si="2"/>
        <v/>
      </c>
    </row>
    <row r="176" spans="1:6" ht="14.4" hidden="1" customHeight="1" outlineLevel="1" x14ac:dyDescent="0.3">
      <c r="A176" s="925"/>
      <c r="B176" s="923"/>
      <c r="C176" s="920"/>
      <c r="D176" s="921"/>
      <c r="E176" s="61"/>
      <c r="F176" s="11" t="str">
        <f t="shared" si="2"/>
        <v/>
      </c>
    </row>
    <row r="177" spans="1:6" ht="14.4" hidden="1" customHeight="1" outlineLevel="1" x14ac:dyDescent="0.3">
      <c r="A177" s="925"/>
      <c r="B177" s="923"/>
      <c r="C177" s="920"/>
      <c r="D177" s="921"/>
      <c r="E177" s="61"/>
      <c r="F177" s="11" t="str">
        <f t="shared" si="2"/>
        <v/>
      </c>
    </row>
    <row r="178" spans="1:6" ht="14.4" hidden="1" customHeight="1" outlineLevel="1" x14ac:dyDescent="0.3">
      <c r="A178" s="925"/>
      <c r="B178" s="923"/>
      <c r="C178" s="920"/>
      <c r="D178" s="921"/>
      <c r="E178" s="61"/>
      <c r="F178" s="11" t="str">
        <f t="shared" si="2"/>
        <v/>
      </c>
    </row>
    <row r="179" spans="1:6" ht="14.4" hidden="1" customHeight="1" outlineLevel="1" x14ac:dyDescent="0.3">
      <c r="A179" s="925"/>
      <c r="B179" s="923"/>
      <c r="C179" s="920"/>
      <c r="D179" s="921"/>
      <c r="E179" s="61"/>
      <c r="F179" s="11" t="str">
        <f t="shared" si="2"/>
        <v/>
      </c>
    </row>
    <row r="180" spans="1:6" ht="14.4" hidden="1" customHeight="1" outlineLevel="1" x14ac:dyDescent="0.3">
      <c r="A180" s="925"/>
      <c r="B180" s="923"/>
      <c r="C180" s="920"/>
      <c r="D180" s="921"/>
      <c r="E180" s="61"/>
      <c r="F180" s="11" t="str">
        <f t="shared" si="2"/>
        <v/>
      </c>
    </row>
    <row r="181" spans="1:6" ht="14.4" hidden="1" customHeight="1" outlineLevel="1" x14ac:dyDescent="0.3">
      <c r="A181" s="925"/>
      <c r="B181" s="923"/>
      <c r="C181" s="920"/>
      <c r="D181" s="921"/>
      <c r="E181" s="61"/>
      <c r="F181" s="11" t="str">
        <f t="shared" si="2"/>
        <v/>
      </c>
    </row>
    <row r="182" spans="1:6" ht="14.4" hidden="1" customHeight="1" outlineLevel="1" x14ac:dyDescent="0.3">
      <c r="A182" s="925"/>
      <c r="B182" s="923"/>
      <c r="C182" s="920"/>
      <c r="D182" s="921"/>
      <c r="E182" s="61"/>
      <c r="F182" s="11" t="str">
        <f t="shared" si="2"/>
        <v/>
      </c>
    </row>
    <row r="183" spans="1:6" ht="14.4" hidden="1" customHeight="1" outlineLevel="1" x14ac:dyDescent="0.3">
      <c r="A183" s="925"/>
      <c r="B183" s="923"/>
      <c r="C183" s="920"/>
      <c r="D183" s="921"/>
      <c r="E183" s="61"/>
      <c r="F183" s="11" t="str">
        <f t="shared" si="2"/>
        <v/>
      </c>
    </row>
    <row r="184" spans="1:6" ht="14.4" hidden="1" customHeight="1" outlineLevel="1" x14ac:dyDescent="0.3">
      <c r="A184" s="925"/>
      <c r="B184" s="923"/>
      <c r="C184" s="920"/>
      <c r="D184" s="921"/>
      <c r="E184" s="61"/>
      <c r="F184" s="11" t="str">
        <f t="shared" si="2"/>
        <v/>
      </c>
    </row>
    <row r="185" spans="1:6" ht="14.4" hidden="1" customHeight="1" outlineLevel="1" x14ac:dyDescent="0.3">
      <c r="A185" s="925"/>
      <c r="B185" s="923"/>
      <c r="C185" s="920"/>
      <c r="D185" s="921"/>
      <c r="E185" s="61"/>
      <c r="F185" s="11" t="str">
        <f t="shared" si="2"/>
        <v/>
      </c>
    </row>
    <row r="186" spans="1:6" ht="14.4" hidden="1" customHeight="1" outlineLevel="1" x14ac:dyDescent="0.3">
      <c r="A186" s="925"/>
      <c r="B186" s="923"/>
      <c r="C186" s="920"/>
      <c r="D186" s="921"/>
      <c r="E186" s="61"/>
      <c r="F186" s="11" t="str">
        <f t="shared" si="2"/>
        <v/>
      </c>
    </row>
    <row r="187" spans="1:6" ht="14.4" hidden="1" customHeight="1" outlineLevel="1" x14ac:dyDescent="0.3">
      <c r="A187" s="925"/>
      <c r="B187" s="923"/>
      <c r="C187" s="920"/>
      <c r="D187" s="921"/>
      <c r="E187" s="61"/>
      <c r="F187" s="11" t="str">
        <f t="shared" si="2"/>
        <v/>
      </c>
    </row>
    <row r="188" spans="1:6" ht="14.4" hidden="1" customHeight="1" outlineLevel="1" x14ac:dyDescent="0.3">
      <c r="A188" s="925"/>
      <c r="B188" s="923"/>
      <c r="C188" s="920"/>
      <c r="D188" s="921"/>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925"/>
      <c r="B189" s="923"/>
      <c r="C189" s="920"/>
      <c r="D189" s="921"/>
      <c r="E189" s="61"/>
      <c r="F189" s="11" t="str">
        <f t="shared" si="3"/>
        <v/>
      </c>
    </row>
    <row r="190" spans="1:6" ht="14.4" hidden="1" customHeight="1" outlineLevel="1" x14ac:dyDescent="0.3">
      <c r="A190" s="925"/>
      <c r="B190" s="923"/>
      <c r="C190" s="920"/>
      <c r="D190" s="921"/>
      <c r="E190" s="61"/>
      <c r="F190" s="11" t="str">
        <f t="shared" si="3"/>
        <v/>
      </c>
    </row>
    <row r="191" spans="1:6" ht="14.4" hidden="1" customHeight="1" outlineLevel="1" x14ac:dyDescent="0.3">
      <c r="A191" s="925"/>
      <c r="B191" s="923"/>
      <c r="C191" s="920"/>
      <c r="D191" s="921"/>
      <c r="E191" s="61"/>
      <c r="F191" s="11" t="str">
        <f t="shared" si="3"/>
        <v/>
      </c>
    </row>
    <row r="192" spans="1:6" ht="14.4" hidden="1" customHeight="1" outlineLevel="1" x14ac:dyDescent="0.3">
      <c r="A192" s="925"/>
      <c r="B192" s="923"/>
      <c r="C192" s="920"/>
      <c r="D192" s="921"/>
      <c r="E192" s="61"/>
      <c r="F192" s="11" t="str">
        <f t="shared" si="3"/>
        <v/>
      </c>
    </row>
    <row r="193" spans="1:6" ht="14.4" hidden="1" customHeight="1" outlineLevel="1" x14ac:dyDescent="0.3">
      <c r="A193" s="925"/>
      <c r="B193" s="923"/>
      <c r="C193" s="920"/>
      <c r="D193" s="921"/>
      <c r="E193" s="61"/>
      <c r="F193" s="11" t="str">
        <f t="shared" si="3"/>
        <v/>
      </c>
    </row>
    <row r="194" spans="1:6" ht="14.4" hidden="1" customHeight="1" outlineLevel="1" x14ac:dyDescent="0.3">
      <c r="A194" s="925"/>
      <c r="B194" s="923"/>
      <c r="C194" s="920"/>
      <c r="D194" s="921"/>
      <c r="E194" s="61"/>
      <c r="F194" s="11" t="str">
        <f t="shared" si="3"/>
        <v/>
      </c>
    </row>
    <row r="195" spans="1:6" ht="14.4" hidden="1" customHeight="1" outlineLevel="1" x14ac:dyDescent="0.3">
      <c r="A195" s="925"/>
      <c r="B195" s="923"/>
      <c r="C195" s="920"/>
      <c r="D195" s="921"/>
      <c r="E195" s="61"/>
      <c r="F195" s="11" t="str">
        <f t="shared" si="3"/>
        <v/>
      </c>
    </row>
    <row r="196" spans="1:6" ht="14.4" hidden="1" customHeight="1" outlineLevel="1" x14ac:dyDescent="0.3">
      <c r="A196" s="925"/>
      <c r="B196" s="923"/>
      <c r="C196" s="920"/>
      <c r="D196" s="921"/>
      <c r="E196" s="61"/>
      <c r="F196" s="11" t="str">
        <f t="shared" si="3"/>
        <v/>
      </c>
    </row>
    <row r="197" spans="1:6" ht="14.4" hidden="1" customHeight="1" outlineLevel="1" x14ac:dyDescent="0.3">
      <c r="A197" s="925"/>
      <c r="B197" s="923"/>
      <c r="C197" s="920"/>
      <c r="D197" s="921"/>
      <c r="E197" s="61"/>
      <c r="F197" s="11" t="str">
        <f t="shared" si="3"/>
        <v/>
      </c>
    </row>
    <row r="198" spans="1:6" ht="14.4" hidden="1" customHeight="1" outlineLevel="1" x14ac:dyDescent="0.3">
      <c r="A198" s="925"/>
      <c r="B198" s="923"/>
      <c r="C198" s="920"/>
      <c r="D198" s="921"/>
      <c r="E198" s="61"/>
      <c r="F198" s="11" t="str">
        <f t="shared" si="3"/>
        <v/>
      </c>
    </row>
    <row r="199" spans="1:6" ht="14.4" hidden="1" customHeight="1" outlineLevel="1" x14ac:dyDescent="0.3">
      <c r="A199" s="925"/>
      <c r="B199" s="923"/>
      <c r="C199" s="920"/>
      <c r="D199" s="921"/>
      <c r="E199" s="61"/>
      <c r="F199" s="11" t="str">
        <f t="shared" si="3"/>
        <v/>
      </c>
    </row>
    <row r="200" spans="1:6" ht="14.4" hidden="1" customHeight="1" outlineLevel="1" x14ac:dyDescent="0.3">
      <c r="A200" s="925"/>
      <c r="B200" s="923"/>
      <c r="C200" s="920"/>
      <c r="D200" s="921"/>
      <c r="E200" s="61"/>
      <c r="F200" s="11" t="str">
        <f t="shared" si="3"/>
        <v/>
      </c>
    </row>
    <row r="201" spans="1:6" ht="14.4" hidden="1" customHeight="1" outlineLevel="1" x14ac:dyDescent="0.3">
      <c r="A201" s="925"/>
      <c r="B201" s="923"/>
      <c r="C201" s="920"/>
      <c r="D201" s="921"/>
      <c r="E201" s="61"/>
      <c r="F201" s="11" t="str">
        <f t="shared" si="3"/>
        <v/>
      </c>
    </row>
    <row r="202" spans="1:6" ht="14.4" hidden="1" customHeight="1" outlineLevel="1" x14ac:dyDescent="0.3">
      <c r="A202" s="925"/>
      <c r="B202" s="923"/>
      <c r="C202" s="920"/>
      <c r="D202" s="921"/>
      <c r="E202" s="61"/>
      <c r="F202" s="11" t="str">
        <f t="shared" si="3"/>
        <v/>
      </c>
    </row>
    <row r="203" spans="1:6" ht="14.4" hidden="1" customHeight="1" outlineLevel="1" x14ac:dyDescent="0.3">
      <c r="A203" s="925"/>
      <c r="B203" s="923"/>
      <c r="C203" s="920"/>
      <c r="D203" s="921"/>
      <c r="E203" s="61"/>
      <c r="F203" s="11" t="str">
        <f t="shared" si="3"/>
        <v/>
      </c>
    </row>
    <row r="204" spans="1:6" ht="14.4" hidden="1" customHeight="1" outlineLevel="1" x14ac:dyDescent="0.3">
      <c r="A204" s="925"/>
      <c r="B204" s="923"/>
      <c r="C204" s="920"/>
      <c r="D204" s="921"/>
      <c r="E204" s="61"/>
      <c r="F204" s="11" t="str">
        <f t="shared" si="3"/>
        <v/>
      </c>
    </row>
    <row r="205" spans="1:6" ht="14.4" hidden="1" customHeight="1" outlineLevel="1" x14ac:dyDescent="0.3">
      <c r="A205" s="925"/>
      <c r="B205" s="923"/>
      <c r="C205" s="920"/>
      <c r="D205" s="921"/>
      <c r="E205" s="61"/>
      <c r="F205" s="11" t="str">
        <f t="shared" si="3"/>
        <v/>
      </c>
    </row>
    <row r="206" spans="1:6" ht="14.4" hidden="1" customHeight="1" outlineLevel="1" x14ac:dyDescent="0.3">
      <c r="A206" s="925"/>
      <c r="B206" s="923"/>
      <c r="C206" s="920"/>
      <c r="D206" s="921"/>
      <c r="E206" s="61"/>
      <c r="F206" s="11" t="str">
        <f t="shared" si="3"/>
        <v/>
      </c>
    </row>
    <row r="207" spans="1:6" ht="14.4" hidden="1" customHeight="1" outlineLevel="1" x14ac:dyDescent="0.3">
      <c r="A207" s="925"/>
      <c r="B207" s="923"/>
      <c r="C207" s="920"/>
      <c r="D207" s="921"/>
      <c r="E207" s="61"/>
      <c r="F207" s="11" t="str">
        <f t="shared" si="3"/>
        <v/>
      </c>
    </row>
    <row r="208" spans="1:6" ht="14.4" hidden="1" customHeight="1" outlineLevel="1" x14ac:dyDescent="0.3">
      <c r="A208" s="925"/>
      <c r="B208" s="923"/>
      <c r="C208" s="920"/>
      <c r="D208" s="921"/>
      <c r="E208" s="61"/>
      <c r="F208" s="11" t="str">
        <f t="shared" si="3"/>
        <v/>
      </c>
    </row>
    <row r="209" spans="1:7" ht="14.4" hidden="1" customHeight="1" outlineLevel="1" x14ac:dyDescent="0.3">
      <c r="A209" s="925"/>
      <c r="B209" s="923"/>
      <c r="C209" s="920"/>
      <c r="D209" s="921"/>
      <c r="E209" s="61"/>
      <c r="F209" s="11" t="str">
        <f t="shared" si="3"/>
        <v/>
      </c>
    </row>
    <row r="210" spans="1:7" ht="14.4" hidden="1" customHeight="1" outlineLevel="1" x14ac:dyDescent="0.3">
      <c r="A210" s="925"/>
      <c r="B210" s="923"/>
      <c r="C210" s="920"/>
      <c r="D210" s="921"/>
      <c r="E210" s="61"/>
      <c r="F210" s="11" t="str">
        <f t="shared" si="3"/>
        <v/>
      </c>
    </row>
    <row r="211" spans="1:7" ht="14.4" hidden="1" customHeight="1" outlineLevel="1" x14ac:dyDescent="0.3">
      <c r="A211" s="925"/>
      <c r="B211" s="923"/>
      <c r="C211" s="920"/>
      <c r="D211" s="921"/>
      <c r="E211" s="61"/>
      <c r="F211" s="11" t="str">
        <f t="shared" si="3"/>
        <v/>
      </c>
    </row>
    <row r="212" spans="1:7" ht="14.4" hidden="1" customHeight="1" outlineLevel="1" x14ac:dyDescent="0.3">
      <c r="A212" s="925"/>
      <c r="B212" s="923"/>
      <c r="C212" s="920"/>
      <c r="D212" s="921"/>
      <c r="E212" s="61"/>
      <c r="F212" s="11" t="str">
        <f t="shared" si="3"/>
        <v/>
      </c>
    </row>
    <row r="213" spans="1:7" ht="14.4" hidden="1" customHeight="1" outlineLevel="1" x14ac:dyDescent="0.3">
      <c r="A213" s="925"/>
      <c r="B213" s="923"/>
      <c r="C213" s="920"/>
      <c r="D213" s="921"/>
      <c r="E213" s="61"/>
      <c r="F213" s="11" t="str">
        <f t="shared" si="3"/>
        <v/>
      </c>
    </row>
    <row r="214" spans="1:7" ht="14.4" hidden="1" customHeight="1" outlineLevel="1" x14ac:dyDescent="0.3">
      <c r="A214" s="925"/>
      <c r="B214" s="923"/>
      <c r="C214" s="920"/>
      <c r="D214" s="921"/>
      <c r="E214" s="61"/>
      <c r="F214" s="11" t="str">
        <f t="shared" si="3"/>
        <v/>
      </c>
    </row>
    <row r="215" spans="1:7" ht="14.4" hidden="1" customHeight="1" outlineLevel="1" x14ac:dyDescent="0.3">
      <c r="A215" s="925"/>
      <c r="B215" s="923"/>
      <c r="C215" s="920"/>
      <c r="D215" s="921"/>
      <c r="E215" s="61"/>
      <c r="F215" s="11" t="str">
        <f t="shared" si="3"/>
        <v/>
      </c>
    </row>
    <row r="216" spans="1:7" ht="14.4" hidden="1" customHeight="1" outlineLevel="1" x14ac:dyDescent="0.3">
      <c r="A216" s="925"/>
      <c r="B216" s="923"/>
      <c r="C216" s="920"/>
      <c r="D216" s="921"/>
      <c r="E216" s="61"/>
      <c r="F216" s="11" t="str">
        <f t="shared" si="3"/>
        <v/>
      </c>
    </row>
    <row r="217" spans="1:7" ht="14.4" hidden="1" customHeight="1" outlineLevel="1" x14ac:dyDescent="0.3">
      <c r="A217" s="925"/>
      <c r="B217" s="923"/>
      <c r="C217" s="920"/>
      <c r="D217" s="921"/>
      <c r="E217" s="61"/>
      <c r="F217" s="11" t="str">
        <f t="shared" si="3"/>
        <v/>
      </c>
    </row>
    <row r="218" spans="1:7" ht="14.4" hidden="1" customHeight="1" outlineLevel="1" x14ac:dyDescent="0.3">
      <c r="A218" s="925"/>
      <c r="B218" s="923"/>
      <c r="C218" s="920"/>
      <c r="D218" s="921"/>
      <c r="E218" s="61"/>
      <c r="F218" s="11" t="str">
        <f t="shared" si="3"/>
        <v/>
      </c>
    </row>
    <row r="219" spans="1:7" ht="14.4" hidden="1" customHeight="1" outlineLevel="1" x14ac:dyDescent="0.3">
      <c r="A219" s="925"/>
      <c r="B219" s="923"/>
      <c r="C219" s="920"/>
      <c r="D219" s="921"/>
      <c r="E219" s="61"/>
      <c r="F219" s="11" t="str">
        <f t="shared" si="3"/>
        <v/>
      </c>
    </row>
    <row r="220" spans="1:7" ht="14.4" hidden="1" customHeight="1" outlineLevel="1" x14ac:dyDescent="0.3">
      <c r="A220" s="925"/>
      <c r="B220" s="923"/>
      <c r="C220" s="920"/>
      <c r="D220" s="921"/>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925"/>
      <c r="B221" s="923"/>
      <c r="C221" s="920"/>
      <c r="D221" s="921"/>
      <c r="E221" s="61"/>
      <c r="F221" s="11" t="str">
        <f t="shared" si="4"/>
        <v/>
      </c>
    </row>
    <row r="222" spans="1:7" ht="14.4" hidden="1" customHeight="1" outlineLevel="1" x14ac:dyDescent="0.3">
      <c r="A222" s="925"/>
      <c r="B222" s="923"/>
      <c r="C222" s="920"/>
      <c r="D222" s="921"/>
      <c r="E222" s="61"/>
      <c r="F222" s="11" t="str">
        <f t="shared" si="4"/>
        <v/>
      </c>
    </row>
    <row r="223" spans="1:7" ht="28.8" collapsed="1" x14ac:dyDescent="0.3">
      <c r="A223" s="441" t="s">
        <v>3732</v>
      </c>
      <c r="B223" s="249" t="s">
        <v>1</v>
      </c>
      <c r="C223" s="891" t="str">
        <f>template_label_basis_for_reporting</f>
        <v>Base per la rendicontazione (su base consolidata o individuale)</v>
      </c>
      <c r="D223" s="892"/>
      <c r="E223" s="60" t="s">
        <v>9543</v>
      </c>
      <c r="F223" s="11" t="str">
        <f>IF(AND(OR(E122 = "Option A (Basic Module only)", E122 = "Option B (Basic Module and Comprehensive Module)"), E223 = ""),
    template_label_missing_value,
    IF(E122 = "", "", template_label_ok))</f>
        <v>OK</v>
      </c>
    </row>
    <row r="224" spans="1:7" x14ac:dyDescent="0.3">
      <c r="A224" s="552" t="s">
        <v>3947</v>
      </c>
      <c r="B224" s="793">
        <v>4</v>
      </c>
      <c r="C224" s="891" t="str">
        <f>template_label_undertakings_legal_form</f>
        <v>Forma giuridica dell'impresa</v>
      </c>
      <c r="D224" s="892"/>
      <c r="E224" s="60" t="s">
        <v>2751</v>
      </c>
      <c r="F224" s="11" t="str">
        <f>IF(AND(OR(E122 = "Option A (Basic Module only)", E122 = "Option B (Basic Module and Comprehensive Module)"), E224 = ""),
    template_label_missing_value,
    IF(E122 = "", "", template_label_ok))</f>
        <v>OK</v>
      </c>
      <c r="G224" t="str">
        <f>template_label_other_warning</f>
        <v xml:space="preserve">ℹ️ Quando si sceglie "altro" come forma giuridica dell'impresa, si prega di compilare la riga sottostante
</v>
      </c>
    </row>
    <row r="225" spans="1:7" x14ac:dyDescent="0.3">
      <c r="A225" s="901"/>
      <c r="B225" s="793"/>
      <c r="C225" s="902" t="str">
        <f>template_label_other_undertakings_legal_form_specification</f>
        <v>Dettagli sulla forma giuridica dell'impresa "altro"</v>
      </c>
      <c r="D225" s="903"/>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52" t="s">
        <v>3733</v>
      </c>
      <c r="B226" s="889" t="s">
        <v>5638</v>
      </c>
      <c r="C226" s="897" t="str">
        <f>template_label_nace_sector_classification_code</f>
        <v>Codice(i) di classificazione settoriale NACE</v>
      </c>
      <c r="D226" s="898"/>
      <c r="E226" s="60" t="s">
        <v>9544</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Si prega di selezionare un codice NACE anziché una categoria, altrimenti verrà visualizzato un messaggio di ERRORE.</v>
      </c>
    </row>
    <row r="227" spans="1:7" ht="14.4" customHeight="1" x14ac:dyDescent="0.3">
      <c r="A227" s="888"/>
      <c r="B227" s="890"/>
      <c r="C227" s="899"/>
      <c r="D227" s="900"/>
      <c r="E227" s="60" t="s">
        <v>9545</v>
      </c>
      <c r="F227" s="11" t="str">
        <f t="shared" ref="F227:F258" si="5">IF(COUNTIF(enum_ListNACECategories, E227) &gt; 0, template_label_error,
IF(E227 = "", "",
IF(COUNTIF($E$226:$E$325, E227) &gt; 1, template_label_value_inconsistency, template_label_ok)))</f>
        <v>OK</v>
      </c>
    </row>
    <row r="228" spans="1:7" ht="14.4" customHeight="1" x14ac:dyDescent="0.3">
      <c r="A228" s="888"/>
      <c r="B228" s="890"/>
      <c r="C228" s="899"/>
      <c r="D228" s="900"/>
      <c r="E228" s="60"/>
      <c r="F228" s="11" t="str">
        <f t="shared" si="5"/>
        <v/>
      </c>
    </row>
    <row r="229" spans="1:7" ht="14.4" hidden="1" customHeight="1" outlineLevel="2" x14ac:dyDescent="0.3">
      <c r="A229" s="888"/>
      <c r="B229" s="890"/>
      <c r="C229" s="899"/>
      <c r="D229" s="900"/>
      <c r="E229" s="60"/>
      <c r="F229" s="11" t="str">
        <f t="shared" si="5"/>
        <v/>
      </c>
    </row>
    <row r="230" spans="1:7" ht="14.4" hidden="1" customHeight="1" outlineLevel="2" x14ac:dyDescent="0.3">
      <c r="A230" s="888"/>
      <c r="B230" s="890"/>
      <c r="C230" s="899"/>
      <c r="D230" s="900"/>
      <c r="E230" s="60"/>
      <c r="F230" s="11" t="str">
        <f t="shared" si="5"/>
        <v/>
      </c>
    </row>
    <row r="231" spans="1:7" ht="14.4" hidden="1" customHeight="1" outlineLevel="2" x14ac:dyDescent="0.3">
      <c r="A231" s="888"/>
      <c r="B231" s="890"/>
      <c r="C231" s="899"/>
      <c r="D231" s="900"/>
      <c r="E231" s="60"/>
      <c r="F231" s="11" t="str">
        <f t="shared" si="5"/>
        <v/>
      </c>
    </row>
    <row r="232" spans="1:7" ht="14.4" hidden="1" customHeight="1" outlineLevel="2" x14ac:dyDescent="0.3">
      <c r="A232" s="888"/>
      <c r="B232" s="890"/>
      <c r="C232" s="899"/>
      <c r="D232" s="900"/>
      <c r="E232" s="60"/>
      <c r="F232" s="11" t="str">
        <f t="shared" si="5"/>
        <v/>
      </c>
    </row>
    <row r="233" spans="1:7" ht="14.4" hidden="1" customHeight="1" outlineLevel="2" x14ac:dyDescent="0.3">
      <c r="A233" s="888"/>
      <c r="B233" s="890"/>
      <c r="C233" s="899"/>
      <c r="D233" s="900"/>
      <c r="E233" s="60"/>
      <c r="F233" s="11" t="str">
        <f t="shared" si="5"/>
        <v/>
      </c>
    </row>
    <row r="234" spans="1:7" ht="14.4" hidden="1" customHeight="1" outlineLevel="2" x14ac:dyDescent="0.3">
      <c r="A234" s="888"/>
      <c r="B234" s="890"/>
      <c r="C234" s="899"/>
      <c r="D234" s="900"/>
      <c r="E234" s="60"/>
      <c r="F234" s="11" t="str">
        <f t="shared" si="5"/>
        <v/>
      </c>
    </row>
    <row r="235" spans="1:7" ht="14.4" hidden="1" customHeight="1" outlineLevel="2" x14ac:dyDescent="0.3">
      <c r="A235" s="888"/>
      <c r="B235" s="890"/>
      <c r="C235" s="899"/>
      <c r="D235" s="900"/>
      <c r="E235" s="60"/>
      <c r="F235" s="11" t="str">
        <f t="shared" si="5"/>
        <v/>
      </c>
    </row>
    <row r="236" spans="1:7" ht="14.4" hidden="1" customHeight="1" outlineLevel="2" x14ac:dyDescent="0.3">
      <c r="A236" s="888"/>
      <c r="B236" s="890"/>
      <c r="C236" s="899"/>
      <c r="D236" s="900"/>
      <c r="E236" s="60"/>
      <c r="F236" s="11" t="str">
        <f t="shared" si="5"/>
        <v/>
      </c>
    </row>
    <row r="237" spans="1:7" ht="14.4" hidden="1" customHeight="1" outlineLevel="2" x14ac:dyDescent="0.3">
      <c r="A237" s="888"/>
      <c r="B237" s="890"/>
      <c r="C237" s="899"/>
      <c r="D237" s="900"/>
      <c r="E237" s="60"/>
      <c r="F237" s="11" t="str">
        <f t="shared" si="5"/>
        <v/>
      </c>
    </row>
    <row r="238" spans="1:7" ht="14.4" hidden="1" customHeight="1" outlineLevel="2" x14ac:dyDescent="0.3">
      <c r="A238" s="888"/>
      <c r="B238" s="890"/>
      <c r="C238" s="899"/>
      <c r="D238" s="900"/>
      <c r="E238" s="60"/>
      <c r="F238" s="11" t="str">
        <f t="shared" si="5"/>
        <v/>
      </c>
    </row>
    <row r="239" spans="1:7" ht="14.4" hidden="1" customHeight="1" outlineLevel="2" x14ac:dyDescent="0.3">
      <c r="A239" s="888"/>
      <c r="B239" s="890"/>
      <c r="C239" s="899"/>
      <c r="D239" s="900"/>
      <c r="E239" s="60"/>
      <c r="F239" s="11" t="str">
        <f t="shared" si="5"/>
        <v/>
      </c>
    </row>
    <row r="240" spans="1:7" ht="14.4" hidden="1" customHeight="1" outlineLevel="2" x14ac:dyDescent="0.3">
      <c r="A240" s="888"/>
      <c r="B240" s="890"/>
      <c r="C240" s="899"/>
      <c r="D240" s="900"/>
      <c r="E240" s="60"/>
      <c r="F240" s="11" t="str">
        <f t="shared" si="5"/>
        <v/>
      </c>
    </row>
    <row r="241" spans="1:6" ht="14.4" hidden="1" customHeight="1" outlineLevel="2" x14ac:dyDescent="0.3">
      <c r="A241" s="888"/>
      <c r="B241" s="890"/>
      <c r="C241" s="899"/>
      <c r="D241" s="900"/>
      <c r="E241" s="60"/>
      <c r="F241" s="11" t="str">
        <f t="shared" si="5"/>
        <v/>
      </c>
    </row>
    <row r="242" spans="1:6" ht="14.4" hidden="1" customHeight="1" outlineLevel="2" x14ac:dyDescent="0.3">
      <c r="A242" s="888"/>
      <c r="B242" s="890"/>
      <c r="C242" s="899"/>
      <c r="D242" s="900"/>
      <c r="E242" s="60"/>
      <c r="F242" s="11" t="str">
        <f t="shared" si="5"/>
        <v/>
      </c>
    </row>
    <row r="243" spans="1:6" ht="14.4" hidden="1" customHeight="1" outlineLevel="2" x14ac:dyDescent="0.3">
      <c r="A243" s="888"/>
      <c r="B243" s="890"/>
      <c r="C243" s="899"/>
      <c r="D243" s="900"/>
      <c r="E243" s="60"/>
      <c r="F243" s="11" t="str">
        <f t="shared" si="5"/>
        <v/>
      </c>
    </row>
    <row r="244" spans="1:6" ht="14.4" hidden="1" customHeight="1" outlineLevel="2" x14ac:dyDescent="0.3">
      <c r="A244" s="888"/>
      <c r="B244" s="890"/>
      <c r="C244" s="899"/>
      <c r="D244" s="900"/>
      <c r="E244" s="60"/>
      <c r="F244" s="11" t="str">
        <f t="shared" si="5"/>
        <v/>
      </c>
    </row>
    <row r="245" spans="1:6" ht="14.4" hidden="1" customHeight="1" outlineLevel="2" x14ac:dyDescent="0.3">
      <c r="A245" s="888"/>
      <c r="B245" s="890"/>
      <c r="C245" s="899"/>
      <c r="D245" s="900"/>
      <c r="E245" s="60"/>
      <c r="F245" s="11" t="str">
        <f t="shared" si="5"/>
        <v/>
      </c>
    </row>
    <row r="246" spans="1:6" ht="14.4" hidden="1" customHeight="1" outlineLevel="2" x14ac:dyDescent="0.3">
      <c r="A246" s="888"/>
      <c r="B246" s="890"/>
      <c r="C246" s="899"/>
      <c r="D246" s="900"/>
      <c r="E246" s="60"/>
      <c r="F246" s="11" t="str">
        <f t="shared" si="5"/>
        <v/>
      </c>
    </row>
    <row r="247" spans="1:6" ht="14.4" hidden="1" customHeight="1" outlineLevel="2" x14ac:dyDescent="0.3">
      <c r="A247" s="888"/>
      <c r="B247" s="890"/>
      <c r="C247" s="899"/>
      <c r="D247" s="900"/>
      <c r="E247" s="60"/>
      <c r="F247" s="11" t="str">
        <f t="shared" si="5"/>
        <v/>
      </c>
    </row>
    <row r="248" spans="1:6" ht="14.4" hidden="1" customHeight="1" outlineLevel="2" x14ac:dyDescent="0.3">
      <c r="A248" s="888"/>
      <c r="B248" s="890"/>
      <c r="C248" s="899"/>
      <c r="D248" s="900"/>
      <c r="E248" s="60"/>
      <c r="F248" s="11" t="str">
        <f t="shared" si="5"/>
        <v/>
      </c>
    </row>
    <row r="249" spans="1:6" ht="14.4" hidden="1" customHeight="1" outlineLevel="2" x14ac:dyDescent="0.3">
      <c r="A249" s="888"/>
      <c r="B249" s="890"/>
      <c r="C249" s="899"/>
      <c r="D249" s="900"/>
      <c r="E249" s="60"/>
      <c r="F249" s="11" t="str">
        <f t="shared" si="5"/>
        <v/>
      </c>
    </row>
    <row r="250" spans="1:6" ht="14.4" hidden="1" customHeight="1" outlineLevel="2" x14ac:dyDescent="0.3">
      <c r="A250" s="888"/>
      <c r="B250" s="890"/>
      <c r="C250" s="899"/>
      <c r="D250" s="900"/>
      <c r="E250" s="60"/>
      <c r="F250" s="11" t="str">
        <f t="shared" si="5"/>
        <v/>
      </c>
    </row>
    <row r="251" spans="1:6" ht="14.4" hidden="1" customHeight="1" outlineLevel="2" x14ac:dyDescent="0.3">
      <c r="A251" s="888"/>
      <c r="B251" s="890"/>
      <c r="C251" s="899"/>
      <c r="D251" s="900"/>
      <c r="E251" s="60"/>
      <c r="F251" s="11" t="str">
        <f t="shared" si="5"/>
        <v/>
      </c>
    </row>
    <row r="252" spans="1:6" ht="14.4" hidden="1" customHeight="1" outlineLevel="2" x14ac:dyDescent="0.3">
      <c r="A252" s="888"/>
      <c r="B252" s="890"/>
      <c r="C252" s="899"/>
      <c r="D252" s="900"/>
      <c r="E252" s="60"/>
      <c r="F252" s="11" t="str">
        <f t="shared" si="5"/>
        <v/>
      </c>
    </row>
    <row r="253" spans="1:6" ht="14.4" hidden="1" customHeight="1" outlineLevel="2" x14ac:dyDescent="0.3">
      <c r="A253" s="888"/>
      <c r="B253" s="890"/>
      <c r="C253" s="899"/>
      <c r="D253" s="900"/>
      <c r="E253" s="60"/>
      <c r="F253" s="11" t="str">
        <f t="shared" si="5"/>
        <v/>
      </c>
    </row>
    <row r="254" spans="1:6" ht="14.4" hidden="1" customHeight="1" outlineLevel="2" x14ac:dyDescent="0.3">
      <c r="A254" s="888"/>
      <c r="B254" s="890"/>
      <c r="C254" s="899"/>
      <c r="D254" s="900"/>
      <c r="E254" s="60"/>
      <c r="F254" s="11" t="str">
        <f t="shared" si="5"/>
        <v/>
      </c>
    </row>
    <row r="255" spans="1:6" ht="14.4" hidden="1" customHeight="1" outlineLevel="2" x14ac:dyDescent="0.3">
      <c r="A255" s="888"/>
      <c r="B255" s="890"/>
      <c r="C255" s="899"/>
      <c r="D255" s="900"/>
      <c r="E255" s="60"/>
      <c r="F255" s="11" t="str">
        <f t="shared" si="5"/>
        <v/>
      </c>
    </row>
    <row r="256" spans="1:6" ht="14.4" hidden="1" customHeight="1" outlineLevel="2" x14ac:dyDescent="0.3">
      <c r="A256" s="888"/>
      <c r="B256" s="890"/>
      <c r="C256" s="899"/>
      <c r="D256" s="900"/>
      <c r="E256" s="60"/>
      <c r="F256" s="11" t="str">
        <f t="shared" si="5"/>
        <v/>
      </c>
    </row>
    <row r="257" spans="1:6" ht="14.4" hidden="1" customHeight="1" outlineLevel="2" x14ac:dyDescent="0.3">
      <c r="A257" s="888"/>
      <c r="B257" s="890"/>
      <c r="C257" s="899"/>
      <c r="D257" s="900"/>
      <c r="E257" s="60"/>
      <c r="F257" s="11" t="str">
        <f t="shared" si="5"/>
        <v/>
      </c>
    </row>
    <row r="258" spans="1:6" ht="14.4" hidden="1" customHeight="1" outlineLevel="2" x14ac:dyDescent="0.3">
      <c r="A258" s="888"/>
      <c r="B258" s="890"/>
      <c r="C258" s="899"/>
      <c r="D258" s="900"/>
      <c r="E258" s="60"/>
      <c r="F258" s="11" t="str">
        <f t="shared" si="5"/>
        <v/>
      </c>
    </row>
    <row r="259" spans="1:6" ht="14.4" hidden="1" customHeight="1" outlineLevel="2" x14ac:dyDescent="0.3">
      <c r="A259" s="888"/>
      <c r="B259" s="890"/>
      <c r="C259" s="899"/>
      <c r="D259" s="900"/>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888"/>
      <c r="B260" s="890"/>
      <c r="C260" s="899"/>
      <c r="D260" s="900"/>
      <c r="E260" s="60"/>
      <c r="F260" s="11" t="str">
        <f t="shared" si="6"/>
        <v/>
      </c>
    </row>
    <row r="261" spans="1:6" ht="14.4" hidden="1" customHeight="1" outlineLevel="2" x14ac:dyDescent="0.3">
      <c r="A261" s="888"/>
      <c r="B261" s="890"/>
      <c r="C261" s="899"/>
      <c r="D261" s="900"/>
      <c r="E261" s="60"/>
      <c r="F261" s="11" t="str">
        <f t="shared" si="6"/>
        <v/>
      </c>
    </row>
    <row r="262" spans="1:6" ht="14.4" hidden="1" customHeight="1" outlineLevel="2" x14ac:dyDescent="0.3">
      <c r="A262" s="888"/>
      <c r="B262" s="890"/>
      <c r="C262" s="899"/>
      <c r="D262" s="900"/>
      <c r="E262" s="60"/>
      <c r="F262" s="11" t="str">
        <f t="shared" si="6"/>
        <v/>
      </c>
    </row>
    <row r="263" spans="1:6" ht="14.4" hidden="1" customHeight="1" outlineLevel="2" x14ac:dyDescent="0.3">
      <c r="A263" s="888"/>
      <c r="B263" s="890"/>
      <c r="C263" s="899"/>
      <c r="D263" s="900"/>
      <c r="E263" s="60"/>
      <c r="F263" s="11" t="str">
        <f t="shared" si="6"/>
        <v/>
      </c>
    </row>
    <row r="264" spans="1:6" ht="14.4" hidden="1" customHeight="1" outlineLevel="2" x14ac:dyDescent="0.3">
      <c r="A264" s="888"/>
      <c r="B264" s="890"/>
      <c r="C264" s="899"/>
      <c r="D264" s="900"/>
      <c r="E264" s="60"/>
      <c r="F264" s="11" t="str">
        <f t="shared" si="6"/>
        <v/>
      </c>
    </row>
    <row r="265" spans="1:6" ht="14.4" hidden="1" customHeight="1" outlineLevel="2" x14ac:dyDescent="0.3">
      <c r="A265" s="888"/>
      <c r="B265" s="890"/>
      <c r="C265" s="899"/>
      <c r="D265" s="900"/>
      <c r="E265" s="60"/>
      <c r="F265" s="11" t="str">
        <f t="shared" si="6"/>
        <v/>
      </c>
    </row>
    <row r="266" spans="1:6" ht="14.4" hidden="1" customHeight="1" outlineLevel="2" x14ac:dyDescent="0.3">
      <c r="A266" s="888"/>
      <c r="B266" s="890"/>
      <c r="C266" s="899"/>
      <c r="D266" s="900"/>
      <c r="E266" s="60"/>
      <c r="F266" s="11" t="str">
        <f t="shared" si="6"/>
        <v/>
      </c>
    </row>
    <row r="267" spans="1:6" ht="14.4" hidden="1" customHeight="1" outlineLevel="2" x14ac:dyDescent="0.3">
      <c r="A267" s="888"/>
      <c r="B267" s="890"/>
      <c r="C267" s="899"/>
      <c r="D267" s="900"/>
      <c r="E267" s="60"/>
      <c r="F267" s="11" t="str">
        <f t="shared" si="6"/>
        <v/>
      </c>
    </row>
    <row r="268" spans="1:6" ht="14.4" hidden="1" customHeight="1" outlineLevel="2" x14ac:dyDescent="0.3">
      <c r="A268" s="888"/>
      <c r="B268" s="890"/>
      <c r="C268" s="899"/>
      <c r="D268" s="900"/>
      <c r="E268" s="60"/>
      <c r="F268" s="11" t="str">
        <f t="shared" si="6"/>
        <v/>
      </c>
    </row>
    <row r="269" spans="1:6" ht="14.4" hidden="1" customHeight="1" outlineLevel="2" x14ac:dyDescent="0.3">
      <c r="A269" s="888"/>
      <c r="B269" s="890"/>
      <c r="C269" s="899"/>
      <c r="D269" s="900"/>
      <c r="E269" s="60"/>
      <c r="F269" s="11" t="str">
        <f t="shared" si="6"/>
        <v/>
      </c>
    </row>
    <row r="270" spans="1:6" ht="14.4" hidden="1" customHeight="1" outlineLevel="2" x14ac:dyDescent="0.3">
      <c r="A270" s="888"/>
      <c r="B270" s="890"/>
      <c r="C270" s="899"/>
      <c r="D270" s="900"/>
      <c r="E270" s="60"/>
      <c r="F270" s="11" t="str">
        <f t="shared" si="6"/>
        <v/>
      </c>
    </row>
    <row r="271" spans="1:6" ht="14.4" hidden="1" customHeight="1" outlineLevel="2" x14ac:dyDescent="0.3">
      <c r="A271" s="888"/>
      <c r="B271" s="890"/>
      <c r="C271" s="899"/>
      <c r="D271" s="900"/>
      <c r="E271" s="60"/>
      <c r="F271" s="11" t="str">
        <f t="shared" si="6"/>
        <v/>
      </c>
    </row>
    <row r="272" spans="1:6" ht="14.4" hidden="1" customHeight="1" outlineLevel="2" x14ac:dyDescent="0.3">
      <c r="A272" s="888"/>
      <c r="B272" s="890"/>
      <c r="C272" s="899"/>
      <c r="D272" s="900"/>
      <c r="E272" s="60"/>
      <c r="F272" s="11" t="str">
        <f t="shared" si="6"/>
        <v/>
      </c>
    </row>
    <row r="273" spans="1:6" ht="14.4" hidden="1" customHeight="1" outlineLevel="2" x14ac:dyDescent="0.3">
      <c r="A273" s="888"/>
      <c r="B273" s="890"/>
      <c r="C273" s="899"/>
      <c r="D273" s="900"/>
      <c r="E273" s="60"/>
      <c r="F273" s="11" t="str">
        <f t="shared" si="6"/>
        <v/>
      </c>
    </row>
    <row r="274" spans="1:6" ht="14.4" hidden="1" customHeight="1" outlineLevel="2" x14ac:dyDescent="0.3">
      <c r="A274" s="888"/>
      <c r="B274" s="890"/>
      <c r="C274" s="899"/>
      <c r="D274" s="900"/>
      <c r="E274" s="60"/>
      <c r="F274" s="11" t="str">
        <f t="shared" si="6"/>
        <v/>
      </c>
    </row>
    <row r="275" spans="1:6" ht="14.4" hidden="1" customHeight="1" outlineLevel="2" x14ac:dyDescent="0.3">
      <c r="A275" s="888"/>
      <c r="B275" s="890"/>
      <c r="C275" s="899"/>
      <c r="D275" s="900"/>
      <c r="E275" s="60"/>
      <c r="F275" s="11" t="str">
        <f t="shared" si="6"/>
        <v/>
      </c>
    </row>
    <row r="276" spans="1:6" ht="14.4" hidden="1" customHeight="1" outlineLevel="2" x14ac:dyDescent="0.3">
      <c r="A276" s="888"/>
      <c r="B276" s="890"/>
      <c r="C276" s="899"/>
      <c r="D276" s="900"/>
      <c r="E276" s="60"/>
      <c r="F276" s="11" t="str">
        <f t="shared" si="6"/>
        <v/>
      </c>
    </row>
    <row r="277" spans="1:6" ht="14.4" hidden="1" customHeight="1" outlineLevel="2" x14ac:dyDescent="0.3">
      <c r="A277" s="888"/>
      <c r="B277" s="890"/>
      <c r="C277" s="899"/>
      <c r="D277" s="900"/>
      <c r="E277" s="60"/>
      <c r="F277" s="11" t="str">
        <f t="shared" si="6"/>
        <v/>
      </c>
    </row>
    <row r="278" spans="1:6" ht="14.4" hidden="1" customHeight="1" outlineLevel="2" x14ac:dyDescent="0.3">
      <c r="A278" s="888"/>
      <c r="B278" s="890"/>
      <c r="C278" s="899"/>
      <c r="D278" s="900"/>
      <c r="E278" s="60"/>
      <c r="F278" s="11" t="str">
        <f t="shared" si="6"/>
        <v/>
      </c>
    </row>
    <row r="279" spans="1:6" ht="14.4" hidden="1" customHeight="1" outlineLevel="2" x14ac:dyDescent="0.3">
      <c r="A279" s="888"/>
      <c r="B279" s="890"/>
      <c r="C279" s="899"/>
      <c r="D279" s="900"/>
      <c r="E279" s="60"/>
      <c r="F279" s="11" t="str">
        <f t="shared" si="6"/>
        <v/>
      </c>
    </row>
    <row r="280" spans="1:6" ht="14.4" hidden="1" customHeight="1" outlineLevel="2" x14ac:dyDescent="0.3">
      <c r="A280" s="888"/>
      <c r="B280" s="890"/>
      <c r="C280" s="899"/>
      <c r="D280" s="900"/>
      <c r="E280" s="60"/>
      <c r="F280" s="11" t="str">
        <f t="shared" si="6"/>
        <v/>
      </c>
    </row>
    <row r="281" spans="1:6" ht="14.4" hidden="1" customHeight="1" outlineLevel="2" x14ac:dyDescent="0.3">
      <c r="A281" s="888"/>
      <c r="B281" s="890"/>
      <c r="C281" s="899"/>
      <c r="D281" s="900"/>
      <c r="E281" s="60"/>
      <c r="F281" s="11" t="str">
        <f t="shared" si="6"/>
        <v/>
      </c>
    </row>
    <row r="282" spans="1:6" ht="14.4" hidden="1" customHeight="1" outlineLevel="2" x14ac:dyDescent="0.3">
      <c r="A282" s="888"/>
      <c r="B282" s="890"/>
      <c r="C282" s="899"/>
      <c r="D282" s="900"/>
      <c r="E282" s="60"/>
      <c r="F282" s="11" t="str">
        <f t="shared" si="6"/>
        <v/>
      </c>
    </row>
    <row r="283" spans="1:6" ht="14.4" hidden="1" customHeight="1" outlineLevel="2" x14ac:dyDescent="0.3">
      <c r="A283" s="888"/>
      <c r="B283" s="890"/>
      <c r="C283" s="899"/>
      <c r="D283" s="900"/>
      <c r="E283" s="60"/>
      <c r="F283" s="11" t="str">
        <f t="shared" si="6"/>
        <v/>
      </c>
    </row>
    <row r="284" spans="1:6" ht="14.4" hidden="1" customHeight="1" outlineLevel="2" x14ac:dyDescent="0.3">
      <c r="A284" s="888"/>
      <c r="B284" s="890"/>
      <c r="C284" s="899"/>
      <c r="D284" s="900"/>
      <c r="E284" s="60"/>
      <c r="F284" s="11" t="str">
        <f t="shared" si="6"/>
        <v/>
      </c>
    </row>
    <row r="285" spans="1:6" ht="14.4" hidden="1" customHeight="1" outlineLevel="2" x14ac:dyDescent="0.3">
      <c r="A285" s="888"/>
      <c r="B285" s="890"/>
      <c r="C285" s="899"/>
      <c r="D285" s="900"/>
      <c r="E285" s="60"/>
      <c r="F285" s="11" t="str">
        <f t="shared" si="6"/>
        <v/>
      </c>
    </row>
    <row r="286" spans="1:6" ht="14.4" hidden="1" customHeight="1" outlineLevel="2" x14ac:dyDescent="0.3">
      <c r="A286" s="888"/>
      <c r="B286" s="890"/>
      <c r="C286" s="899"/>
      <c r="D286" s="900"/>
      <c r="E286" s="60"/>
      <c r="F286" s="11" t="str">
        <f t="shared" si="6"/>
        <v/>
      </c>
    </row>
    <row r="287" spans="1:6" ht="14.4" hidden="1" customHeight="1" outlineLevel="2" x14ac:dyDescent="0.3">
      <c r="A287" s="888"/>
      <c r="B287" s="890"/>
      <c r="C287" s="899"/>
      <c r="D287" s="900"/>
      <c r="E287" s="60"/>
      <c r="F287" s="11" t="str">
        <f t="shared" si="6"/>
        <v/>
      </c>
    </row>
    <row r="288" spans="1:6" ht="14.4" hidden="1" customHeight="1" outlineLevel="2" x14ac:dyDescent="0.3">
      <c r="A288" s="888"/>
      <c r="B288" s="890"/>
      <c r="C288" s="899"/>
      <c r="D288" s="900"/>
      <c r="E288" s="60"/>
      <c r="F288" s="11" t="str">
        <f t="shared" si="6"/>
        <v/>
      </c>
    </row>
    <row r="289" spans="1:6" ht="14.4" hidden="1" customHeight="1" outlineLevel="2" x14ac:dyDescent="0.3">
      <c r="A289" s="888"/>
      <c r="B289" s="890"/>
      <c r="C289" s="899"/>
      <c r="D289" s="900"/>
      <c r="E289" s="60"/>
      <c r="F289" s="11" t="str">
        <f t="shared" si="6"/>
        <v/>
      </c>
    </row>
    <row r="290" spans="1:6" ht="14.4" hidden="1" customHeight="1" outlineLevel="2" x14ac:dyDescent="0.3">
      <c r="A290" s="888"/>
      <c r="B290" s="890"/>
      <c r="C290" s="899"/>
      <c r="D290" s="900"/>
      <c r="E290" s="60"/>
      <c r="F290" s="11" t="str">
        <f t="shared" si="6"/>
        <v/>
      </c>
    </row>
    <row r="291" spans="1:6" ht="14.4" hidden="1" customHeight="1" outlineLevel="2" x14ac:dyDescent="0.3">
      <c r="A291" s="888"/>
      <c r="B291" s="890"/>
      <c r="C291" s="899"/>
      <c r="D291" s="900"/>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888"/>
      <c r="B292" s="890"/>
      <c r="C292" s="899"/>
      <c r="D292" s="900"/>
      <c r="E292" s="60"/>
      <c r="F292" s="11" t="str">
        <f t="shared" si="7"/>
        <v/>
      </c>
    </row>
    <row r="293" spans="1:6" ht="14.4" hidden="1" customHeight="1" outlineLevel="2" x14ac:dyDescent="0.3">
      <c r="A293" s="888"/>
      <c r="B293" s="890"/>
      <c r="C293" s="899"/>
      <c r="D293" s="900"/>
      <c r="E293" s="60"/>
      <c r="F293" s="11" t="str">
        <f t="shared" si="7"/>
        <v/>
      </c>
    </row>
    <row r="294" spans="1:6" ht="14.4" hidden="1" customHeight="1" outlineLevel="2" x14ac:dyDescent="0.3">
      <c r="A294" s="888"/>
      <c r="B294" s="890"/>
      <c r="C294" s="899"/>
      <c r="D294" s="900"/>
      <c r="E294" s="60"/>
      <c r="F294" s="11" t="str">
        <f t="shared" si="7"/>
        <v/>
      </c>
    </row>
    <row r="295" spans="1:6" ht="14.4" hidden="1" customHeight="1" outlineLevel="2" x14ac:dyDescent="0.3">
      <c r="A295" s="888"/>
      <c r="B295" s="890"/>
      <c r="C295" s="899"/>
      <c r="D295" s="900"/>
      <c r="E295" s="60"/>
      <c r="F295" s="11" t="str">
        <f t="shared" si="7"/>
        <v/>
      </c>
    </row>
    <row r="296" spans="1:6" ht="14.4" hidden="1" customHeight="1" outlineLevel="2" x14ac:dyDescent="0.3">
      <c r="A296" s="888"/>
      <c r="B296" s="890"/>
      <c r="C296" s="899"/>
      <c r="D296" s="900"/>
      <c r="E296" s="60"/>
      <c r="F296" s="11" t="str">
        <f t="shared" si="7"/>
        <v/>
      </c>
    </row>
    <row r="297" spans="1:6" ht="14.4" hidden="1" customHeight="1" outlineLevel="2" x14ac:dyDescent="0.3">
      <c r="A297" s="888"/>
      <c r="B297" s="890"/>
      <c r="C297" s="899"/>
      <c r="D297" s="900"/>
      <c r="E297" s="60"/>
      <c r="F297" s="11" t="str">
        <f t="shared" si="7"/>
        <v/>
      </c>
    </row>
    <row r="298" spans="1:6" ht="14.4" hidden="1" customHeight="1" outlineLevel="2" x14ac:dyDescent="0.3">
      <c r="A298" s="888"/>
      <c r="B298" s="890"/>
      <c r="C298" s="899"/>
      <c r="D298" s="900"/>
      <c r="E298" s="60"/>
      <c r="F298" s="11" t="str">
        <f t="shared" si="7"/>
        <v/>
      </c>
    </row>
    <row r="299" spans="1:6" ht="14.4" hidden="1" customHeight="1" outlineLevel="2" x14ac:dyDescent="0.3">
      <c r="A299" s="888"/>
      <c r="B299" s="890"/>
      <c r="C299" s="899"/>
      <c r="D299" s="900"/>
      <c r="E299" s="60"/>
      <c r="F299" s="11" t="str">
        <f t="shared" si="7"/>
        <v/>
      </c>
    </row>
    <row r="300" spans="1:6" ht="14.4" hidden="1" customHeight="1" outlineLevel="2" x14ac:dyDescent="0.3">
      <c r="A300" s="888"/>
      <c r="B300" s="890"/>
      <c r="C300" s="899"/>
      <c r="D300" s="900"/>
      <c r="E300" s="60"/>
      <c r="F300" s="11" t="str">
        <f t="shared" si="7"/>
        <v/>
      </c>
    </row>
    <row r="301" spans="1:6" ht="14.4" hidden="1" customHeight="1" outlineLevel="2" x14ac:dyDescent="0.3">
      <c r="A301" s="888"/>
      <c r="B301" s="890"/>
      <c r="C301" s="899"/>
      <c r="D301" s="900"/>
      <c r="E301" s="60"/>
      <c r="F301" s="11" t="str">
        <f t="shared" si="7"/>
        <v/>
      </c>
    </row>
    <row r="302" spans="1:6" ht="14.4" hidden="1" customHeight="1" outlineLevel="2" x14ac:dyDescent="0.3">
      <c r="A302" s="888"/>
      <c r="B302" s="890"/>
      <c r="C302" s="899"/>
      <c r="D302" s="900"/>
      <c r="E302" s="60"/>
      <c r="F302" s="11" t="str">
        <f t="shared" si="7"/>
        <v/>
      </c>
    </row>
    <row r="303" spans="1:6" ht="14.4" hidden="1" customHeight="1" outlineLevel="2" x14ac:dyDescent="0.3">
      <c r="A303" s="888"/>
      <c r="B303" s="890"/>
      <c r="C303" s="899"/>
      <c r="D303" s="900"/>
      <c r="E303" s="60"/>
      <c r="F303" s="11" t="str">
        <f t="shared" si="7"/>
        <v/>
      </c>
    </row>
    <row r="304" spans="1:6" ht="14.4" hidden="1" customHeight="1" outlineLevel="2" x14ac:dyDescent="0.3">
      <c r="A304" s="888"/>
      <c r="B304" s="890"/>
      <c r="C304" s="899"/>
      <c r="D304" s="900"/>
      <c r="E304" s="60"/>
      <c r="F304" s="11" t="str">
        <f t="shared" si="7"/>
        <v/>
      </c>
    </row>
    <row r="305" spans="1:6" ht="14.4" hidden="1" customHeight="1" outlineLevel="2" x14ac:dyDescent="0.3">
      <c r="A305" s="888"/>
      <c r="B305" s="890"/>
      <c r="C305" s="899"/>
      <c r="D305" s="900"/>
      <c r="E305" s="60"/>
      <c r="F305" s="11" t="str">
        <f t="shared" si="7"/>
        <v/>
      </c>
    </row>
    <row r="306" spans="1:6" ht="14.4" hidden="1" customHeight="1" outlineLevel="2" x14ac:dyDescent="0.3">
      <c r="A306" s="888"/>
      <c r="B306" s="890"/>
      <c r="C306" s="899"/>
      <c r="D306" s="900"/>
      <c r="E306" s="60"/>
      <c r="F306" s="11" t="str">
        <f t="shared" si="7"/>
        <v/>
      </c>
    </row>
    <row r="307" spans="1:6" ht="14.4" hidden="1" customHeight="1" outlineLevel="2" x14ac:dyDescent="0.3">
      <c r="A307" s="888"/>
      <c r="B307" s="890"/>
      <c r="C307" s="899"/>
      <c r="D307" s="900"/>
      <c r="E307" s="60"/>
      <c r="F307" s="11" t="str">
        <f t="shared" si="7"/>
        <v/>
      </c>
    </row>
    <row r="308" spans="1:6" ht="14.4" hidden="1" customHeight="1" outlineLevel="2" x14ac:dyDescent="0.3">
      <c r="A308" s="888"/>
      <c r="B308" s="890"/>
      <c r="C308" s="899"/>
      <c r="D308" s="900"/>
      <c r="E308" s="60"/>
      <c r="F308" s="11" t="str">
        <f t="shared" si="7"/>
        <v/>
      </c>
    </row>
    <row r="309" spans="1:6" ht="14.4" hidden="1" customHeight="1" outlineLevel="2" x14ac:dyDescent="0.3">
      <c r="A309" s="888"/>
      <c r="B309" s="890"/>
      <c r="C309" s="899"/>
      <c r="D309" s="900"/>
      <c r="E309" s="60"/>
      <c r="F309" s="11" t="str">
        <f t="shared" si="7"/>
        <v/>
      </c>
    </row>
    <row r="310" spans="1:6" ht="14.4" hidden="1" customHeight="1" outlineLevel="2" x14ac:dyDescent="0.3">
      <c r="A310" s="888"/>
      <c r="B310" s="890"/>
      <c r="C310" s="899"/>
      <c r="D310" s="900"/>
      <c r="E310" s="60"/>
      <c r="F310" s="11" t="str">
        <f t="shared" si="7"/>
        <v/>
      </c>
    </row>
    <row r="311" spans="1:6" ht="14.4" hidden="1" customHeight="1" outlineLevel="2" x14ac:dyDescent="0.3">
      <c r="A311" s="888"/>
      <c r="B311" s="890"/>
      <c r="C311" s="899"/>
      <c r="D311" s="900"/>
      <c r="E311" s="60"/>
      <c r="F311" s="11" t="str">
        <f t="shared" si="7"/>
        <v/>
      </c>
    </row>
    <row r="312" spans="1:6" ht="14.4" hidden="1" customHeight="1" outlineLevel="2" x14ac:dyDescent="0.3">
      <c r="A312" s="888"/>
      <c r="B312" s="890"/>
      <c r="C312" s="899"/>
      <c r="D312" s="900"/>
      <c r="E312" s="60"/>
      <c r="F312" s="11" t="str">
        <f t="shared" si="7"/>
        <v/>
      </c>
    </row>
    <row r="313" spans="1:6" ht="14.4" hidden="1" customHeight="1" outlineLevel="2" x14ac:dyDescent="0.3">
      <c r="A313" s="888"/>
      <c r="B313" s="890"/>
      <c r="C313" s="899"/>
      <c r="D313" s="900"/>
      <c r="E313" s="60"/>
      <c r="F313" s="11" t="str">
        <f t="shared" si="7"/>
        <v/>
      </c>
    </row>
    <row r="314" spans="1:6" ht="14.4" hidden="1" customHeight="1" outlineLevel="2" x14ac:dyDescent="0.3">
      <c r="A314" s="888"/>
      <c r="B314" s="890"/>
      <c r="C314" s="899"/>
      <c r="D314" s="900"/>
      <c r="E314" s="60"/>
      <c r="F314" s="11" t="str">
        <f t="shared" si="7"/>
        <v/>
      </c>
    </row>
    <row r="315" spans="1:6" ht="14.4" hidden="1" customHeight="1" outlineLevel="2" x14ac:dyDescent="0.3">
      <c r="A315" s="888"/>
      <c r="B315" s="890"/>
      <c r="C315" s="899"/>
      <c r="D315" s="900"/>
      <c r="E315" s="60"/>
      <c r="F315" s="11" t="str">
        <f t="shared" si="7"/>
        <v/>
      </c>
    </row>
    <row r="316" spans="1:6" ht="14.4" hidden="1" customHeight="1" outlineLevel="2" x14ac:dyDescent="0.3">
      <c r="A316" s="888"/>
      <c r="B316" s="890"/>
      <c r="C316" s="899"/>
      <c r="D316" s="900"/>
      <c r="E316" s="60"/>
      <c r="F316" s="11" t="str">
        <f t="shared" si="7"/>
        <v/>
      </c>
    </row>
    <row r="317" spans="1:6" ht="14.4" hidden="1" customHeight="1" outlineLevel="2" x14ac:dyDescent="0.3">
      <c r="A317" s="888"/>
      <c r="B317" s="890"/>
      <c r="C317" s="899"/>
      <c r="D317" s="900"/>
      <c r="E317" s="60"/>
      <c r="F317" s="11" t="str">
        <f t="shared" si="7"/>
        <v/>
      </c>
    </row>
    <row r="318" spans="1:6" ht="14.4" hidden="1" customHeight="1" outlineLevel="2" x14ac:dyDescent="0.3">
      <c r="A318" s="888"/>
      <c r="B318" s="890"/>
      <c r="C318" s="899"/>
      <c r="D318" s="900"/>
      <c r="E318" s="60"/>
      <c r="F318" s="11" t="str">
        <f t="shared" si="7"/>
        <v/>
      </c>
    </row>
    <row r="319" spans="1:6" ht="14.4" hidden="1" customHeight="1" outlineLevel="2" x14ac:dyDescent="0.3">
      <c r="A319" s="888"/>
      <c r="B319" s="890"/>
      <c r="C319" s="899"/>
      <c r="D319" s="900"/>
      <c r="E319" s="60"/>
      <c r="F319" s="11" t="str">
        <f t="shared" si="7"/>
        <v/>
      </c>
    </row>
    <row r="320" spans="1:6" ht="14.4" hidden="1" customHeight="1" outlineLevel="2" x14ac:dyDescent="0.3">
      <c r="A320" s="888"/>
      <c r="B320" s="890"/>
      <c r="C320" s="899"/>
      <c r="D320" s="900"/>
      <c r="E320" s="60"/>
      <c r="F320" s="11" t="str">
        <f t="shared" si="7"/>
        <v/>
      </c>
    </row>
    <row r="321" spans="1:7" ht="14.4" hidden="1" customHeight="1" outlineLevel="2" x14ac:dyDescent="0.3">
      <c r="A321" s="888"/>
      <c r="B321" s="890"/>
      <c r="C321" s="899"/>
      <c r="D321" s="900"/>
      <c r="E321" s="60"/>
      <c r="F321" s="11" t="str">
        <f t="shared" si="7"/>
        <v/>
      </c>
    </row>
    <row r="322" spans="1:7" ht="14.4" hidden="1" customHeight="1" outlineLevel="2" x14ac:dyDescent="0.3">
      <c r="A322" s="888"/>
      <c r="B322" s="890"/>
      <c r="C322" s="899"/>
      <c r="D322" s="900"/>
      <c r="E322" s="60"/>
      <c r="F322" s="11" t="str">
        <f t="shared" si="7"/>
        <v/>
      </c>
    </row>
    <row r="323" spans="1:7" ht="14.4" hidden="1" customHeight="1" outlineLevel="2" x14ac:dyDescent="0.3">
      <c r="A323" s="888"/>
      <c r="B323" s="890"/>
      <c r="C323" s="899"/>
      <c r="D323" s="900"/>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888"/>
      <c r="B324" s="890"/>
      <c r="C324" s="899"/>
      <c r="D324" s="900"/>
      <c r="E324" s="60"/>
      <c r="F324" s="11" t="str">
        <f t="shared" si="8"/>
        <v/>
      </c>
    </row>
    <row r="325" spans="1:7" ht="14.4" hidden="1" customHeight="1" outlineLevel="2" x14ac:dyDescent="0.3">
      <c r="A325" s="888"/>
      <c r="B325" s="890"/>
      <c r="C325" s="899"/>
      <c r="D325" s="900"/>
      <c r="E325" s="60"/>
      <c r="F325" s="11" t="str">
        <f t="shared" si="8"/>
        <v/>
      </c>
    </row>
    <row r="326" spans="1:7" ht="14.4" customHeight="1" collapsed="1" x14ac:dyDescent="0.3">
      <c r="A326" s="441" t="s">
        <v>3734</v>
      </c>
      <c r="B326" s="249" t="s">
        <v>1</v>
      </c>
      <c r="C326" s="891" t="str">
        <f>template_label_size_of_balance_sheet_in &amp; " " &amp; template_currency</f>
        <v>Entità dello stato patrimoniale (totale degli attivi) EUR</v>
      </c>
      <c r="D326" s="892"/>
      <c r="E326" s="63">
        <v>600000</v>
      </c>
      <c r="F326" s="11" t="str">
        <f>IF(AND(OR(E122 = "Option A (Basic Module only)", E122 = "Option B (Basic Module and Comprehensive Module)"), E326 = ""),
    template_label_missing_value,
    IF(E122 = "", "", template_label_ok))</f>
        <v>OK</v>
      </c>
    </row>
    <row r="327" spans="1:7" ht="14.4" customHeight="1" x14ac:dyDescent="0.3">
      <c r="A327" s="441" t="s">
        <v>3735</v>
      </c>
      <c r="B327" s="249" t="s">
        <v>1</v>
      </c>
      <c r="C327" s="891" t="str">
        <f>template_label_turnover_in &amp; " " &amp; template_currency</f>
        <v>Ricavi delle vendite e delle prestazioni EUR</v>
      </c>
      <c r="D327" s="892"/>
      <c r="E327" s="63">
        <v>235000</v>
      </c>
      <c r="F327" s="11" t="str">
        <f>IF(AND(OR(E122 = "Option A (Basic Module only)", E122 = "Option B (Basic Module and Comprehensive Module)"), E327 = ""),
    template_label_missing_value,
    IF(E122 = "", "", template_label_ok))</f>
        <v>OK</v>
      </c>
    </row>
    <row r="328" spans="1:7" ht="14.4" customHeight="1" x14ac:dyDescent="0.3">
      <c r="A328" s="441" t="s">
        <v>3725</v>
      </c>
      <c r="B328" s="445" t="s">
        <v>5639</v>
      </c>
      <c r="C328" s="891" t="str">
        <f>+template_label_number_of_employees</f>
        <v>Numero di dipendenti</v>
      </c>
      <c r="D328" s="892"/>
      <c r="E328" s="64">
        <v>151</v>
      </c>
      <c r="F328" s="11" t="str">
        <f>IF(AND(OR(E122 = "Option A (Basic Module only)", E122 = "Option B (Basic Module and Comprehensive Module)"), E328 = ""),
    template_label_missing_value,
    IF(E122 = "", "", template_label_ok))</f>
        <v>OK</v>
      </c>
    </row>
    <row r="329" spans="1:7" ht="14.4" customHeight="1" x14ac:dyDescent="0.3">
      <c r="A329" s="441" t="s">
        <v>3725</v>
      </c>
      <c r="B329" s="445" t="s">
        <v>5639</v>
      </c>
      <c r="C329" s="895" t="str">
        <f>template_label_employee_counting_methodology_end_of_reporting_period_or_average_during_the_reporting_period</f>
        <v>Metodologia di conteggio dei dipendenti (Alla fine del periodo di riferimento o come media durante il periodo di riferimento)</v>
      </c>
      <c r="D329" s="896"/>
      <c r="E329" s="64" t="s">
        <v>3101</v>
      </c>
      <c r="F329" s="11" t="str">
        <f>IF(AND(OR(E122 = "Option A (Basic Module only)", E122 = "Option B (Basic Module and Comprehensive Module)"), E329 = ""),
    template_label_missing_value,
    IF(E122 = "", "", template_label_ok))</f>
        <v>OK</v>
      </c>
    </row>
    <row r="330" spans="1:7" ht="14.4" customHeight="1" x14ac:dyDescent="0.3">
      <c r="A330" s="441" t="s">
        <v>3725</v>
      </c>
      <c r="B330" s="445" t="s">
        <v>5639</v>
      </c>
      <c r="C330" s="891" t="str">
        <f>template_label_employee_counting_methodology_headcount_or_fulltime_equivalent</f>
        <v>Metodologia di conteggio dei dipendenti (Effettivi o equivalenti a tempo pieno)</v>
      </c>
      <c r="D330" s="892"/>
      <c r="E330" s="61" t="s">
        <v>9546</v>
      </c>
      <c r="F330" s="11" t="str">
        <f>IF(AND(OR(E122 = "Option A (Basic Module only)", E122 = "Option B (Basic Module and Comprehensive Module)"), E330 = ""),
    template_label_missing_value,
    IF(E122 = "", "", template_label_ok))</f>
        <v>OK</v>
      </c>
    </row>
    <row r="331" spans="1:7" ht="14.4" customHeight="1" thickBot="1" x14ac:dyDescent="0.35">
      <c r="A331" s="441" t="s">
        <v>3736</v>
      </c>
      <c r="B331" s="463" t="s">
        <v>5640</v>
      </c>
      <c r="C331" s="893" t="str">
        <f>template_label_country_of_primary_operations_and_location_of_significant_asset</f>
        <v>Paese delle operazioni primarie e ubicazione degli attivi significativi</v>
      </c>
      <c r="D331" s="894"/>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64"/>
    </row>
    <row r="333" spans="1:7" ht="14.4" customHeight="1" x14ac:dyDescent="0.3">
      <c r="A333" s="88"/>
      <c r="B333" s="88"/>
      <c r="C333" s="592" t="str">
        <f xml:space="preserve"> template_label_b1_list_of_subsidiaries &amp; " " &amp; template_label_from &amp; " " &amp; template_starting_date_display &amp; " " &amp; template_label_to &amp; " " &amp; template_ending_date_display &amp; " " &amp; template_label_if_applicable</f>
        <v>B1 - Elenco delle imprese figlie da 2024-01-01 a 2024-12-31 [Se applicabile]</v>
      </c>
      <c r="D333" s="912"/>
      <c r="E333" s="913"/>
    </row>
    <row r="334" spans="1:7" ht="14.4" customHeight="1" x14ac:dyDescent="0.3">
      <c r="A334" s="88"/>
      <c r="B334" s="88"/>
      <c r="C334" s="585" t="s">
        <v>3737</v>
      </c>
      <c r="D334" s="586"/>
      <c r="E334" s="587"/>
      <c r="F334" s="94"/>
    </row>
    <row r="335" spans="1:7" ht="14.4" customHeight="1" x14ac:dyDescent="0.3">
      <c r="A335" s="88"/>
      <c r="B335" s="88"/>
      <c r="C335" s="4" t="str">
        <f>template_label_id</f>
        <v>ID</v>
      </c>
      <c r="D335" t="str">
        <f>template_label_name</f>
        <v>Nome</v>
      </c>
      <c r="E335" s="417" t="str">
        <f>template_label_registered_address</f>
        <v>Sede legale</v>
      </c>
    </row>
    <row r="336" spans="1:7" ht="14.4" customHeight="1" x14ac:dyDescent="0.3">
      <c r="A336" s="88"/>
      <c r="B336" s="88"/>
      <c r="C336" s="231">
        <v>1</v>
      </c>
      <c r="D336" s="467" t="s">
        <v>9547</v>
      </c>
      <c r="E336" s="70" t="s">
        <v>9548</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579"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Informativa delle certificazioni o marchi di sostenibilità da 2024-01-01 a 2024-12-31 [Se applicabile]</v>
      </c>
      <c r="D437" s="580"/>
      <c r="E437" s="580"/>
      <c r="F437" s="580"/>
      <c r="G437" s="580"/>
      <c r="H437" s="581"/>
    </row>
    <row r="438" spans="3:10" ht="14.4" customHeight="1" x14ac:dyDescent="0.3">
      <c r="C438" s="585">
        <v>25</v>
      </c>
      <c r="D438" s="586"/>
      <c r="E438" s="586"/>
      <c r="F438" s="586"/>
      <c r="G438" s="586"/>
      <c r="H438" s="587"/>
    </row>
    <row r="439" spans="3:10" ht="14.4" customHeight="1" x14ac:dyDescent="0.3">
      <c r="C439" s="946">
        <v>13</v>
      </c>
      <c r="D439" s="947"/>
      <c r="E439" s="947"/>
      <c r="F439" s="947"/>
      <c r="G439" s="947"/>
      <c r="H439" s="948"/>
    </row>
    <row r="440" spans="3:10" ht="14.4" customHeight="1" x14ac:dyDescent="0.3">
      <c r="C440" s="683" t="str">
        <f>template_label_has_the_undertaking_obtained_any_sustainability_related_certification_or_label</f>
        <v>L'impresa ha ottenuto una o più certificazioni o marchi di sostenibilità?</v>
      </c>
      <c r="D440" s="718"/>
      <c r="E440" s="804" t="b">
        <v>1</v>
      </c>
      <c r="F440" s="805"/>
      <c r="G440" s="805"/>
      <c r="H440" s="806"/>
    </row>
    <row r="441" spans="3:10" ht="30" customHeight="1" thickBot="1" x14ac:dyDescent="0.35">
      <c r="C441" s="932" t="str">
        <f>template_label_description_of_sustainability_related_certification_or_label</f>
        <v>Descrizione della/e certificazione/i o marchio/i di sostenibilità, includendo, se del caso, i soggetti che hanno rilasciato la certificazione o il marchio, la datadi rilascio e il punteggio di valutazione</v>
      </c>
      <c r="D441" s="933"/>
      <c r="E441" s="787" t="s">
        <v>9549</v>
      </c>
      <c r="F441" s="865"/>
      <c r="G441" s="865"/>
      <c r="H441" s="866"/>
      <c r="I441" s="16" t="str">
        <f>IF(AND(E440=TRUE,E441=""), template_label_missing_value,
IF(AND(E440=TRUE,E441&lt;&gt;""), template_label_ok, ""))</f>
        <v>OK</v>
      </c>
    </row>
    <row r="442" spans="3:10" ht="15" thickBot="1" x14ac:dyDescent="0.35"/>
    <row r="443" spans="3:10" x14ac:dyDescent="0.3">
      <c r="C443" s="592" t="str">
        <f>template_label_b1_list_of_site&amp; " " &amp; template_label_from &amp; " " &amp; template_starting_date_display &amp; " " &amp; template_label_to &amp; " " &amp; template_ending_date_display &amp; " " &amp; template_label_always_to_be_reported</f>
        <v>Elenco del/i sito(i) B1 da 2024-01-01 a 2024-12-31 [Sempre da riportare]</v>
      </c>
      <c r="D443" s="912"/>
      <c r="E443" s="912"/>
      <c r="F443" s="912"/>
      <c r="G443" s="912"/>
      <c r="H443" s="913"/>
    </row>
    <row r="444" spans="3:10" x14ac:dyDescent="0.3">
      <c r="C444" s="585" t="s">
        <v>3738</v>
      </c>
      <c r="D444" s="586"/>
      <c r="E444" s="586"/>
      <c r="F444" s="586"/>
      <c r="G444" s="586"/>
      <c r="H444" s="587"/>
    </row>
    <row r="445" spans="3:10" x14ac:dyDescent="0.3">
      <c r="C445" s="954" t="s">
        <v>5641</v>
      </c>
      <c r="D445" s="955"/>
      <c r="E445" s="955"/>
      <c r="F445" s="955"/>
      <c r="G445" s="955"/>
      <c r="H445" s="956"/>
    </row>
    <row r="446" spans="3:10" x14ac:dyDescent="0.3">
      <c r="C446" s="960" t="str">
        <f>template_label_id</f>
        <v>ID</v>
      </c>
      <c r="D446" s="862" t="str">
        <f>template_label_address</f>
        <v>Indirizzo</v>
      </c>
      <c r="E446" s="862" t="str">
        <f>template_label_postal_code</f>
        <v>Codice postale</v>
      </c>
      <c r="F446" s="859" t="str">
        <f>template_label_city</f>
        <v>Città</v>
      </c>
      <c r="G446" s="862" t="str">
        <f>template_label_country</f>
        <v>Paese</v>
      </c>
      <c r="H446" s="216" t="str">
        <f>template_label_gps_coordinates</f>
        <v>Coordinate GPS (geolocalizzazione)</v>
      </c>
      <c r="I446" s="95"/>
    </row>
    <row r="447" spans="3:10" ht="78" customHeight="1" x14ac:dyDescent="0.3">
      <c r="C447" s="961"/>
      <c r="D447" s="863"/>
      <c r="E447" s="863"/>
      <c r="F447" s="860"/>
      <c r="G447" s="863"/>
      <c r="H447" s="420" t="str">
        <f>template_label_automatic_geolocation</f>
        <v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v>
      </c>
      <c r="I447" s="95"/>
      <c r="J447" s="2"/>
    </row>
    <row r="448" spans="3:10" ht="53.4" customHeight="1" x14ac:dyDescent="0.3">
      <c r="C448" s="961"/>
      <c r="D448" s="863"/>
      <c r="E448" s="863"/>
      <c r="F448" s="860"/>
      <c r="G448" s="863"/>
      <c r="H448" s="419" t="s">
        <v>4362</v>
      </c>
      <c r="I448" s="418"/>
      <c r="J448" s="2"/>
    </row>
    <row r="449" spans="3:13" x14ac:dyDescent="0.3">
      <c r="C449" s="962"/>
      <c r="D449" s="864"/>
      <c r="E449" s="864"/>
      <c r="F449" s="861"/>
      <c r="G449" s="864"/>
      <c r="H449" s="380" t="b">
        <v>1</v>
      </c>
      <c r="I449" s="95"/>
      <c r="J449" s="342"/>
    </row>
    <row r="450" spans="3:13" x14ac:dyDescent="0.3">
      <c r="C450" s="231">
        <v>1</v>
      </c>
      <c r="D450" s="72" t="s">
        <v>9550</v>
      </c>
      <c r="E450" s="73" t="s">
        <v>9551</v>
      </c>
      <c r="F450" s="74" t="s">
        <v>9552</v>
      </c>
      <c r="G450" s="72" t="s">
        <v>492</v>
      </c>
      <c r="H450" s="207" t="str">
        <f>IF(COUNTA(D450:G450)=COLUMNS(D450:G450), IFERROR('Technical Sheet'!G2, "-"), "-")</f>
        <v>45.4639102,9.1906398</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OpenStreetMap Link</v>
      </c>
      <c r="K450" s="96" t="str">
        <f t="shared" ref="K450:K549" si="10">LOWER(SUBSTITUTE(D450," ","+" )) &amp; "+" &amp; LOWER(SUBSTITUTE(E450," ","+" )) &amp; "+" &amp; LOWER(SUBSTITUTE(F450," ","+" )) &amp; "+" &amp; LOWER(SUBSTITUTE(G450," ","+" )) &amp; "+"</f>
        <v>duomo+square+20122+milan+italy+</v>
      </c>
      <c r="L450" t="str">
        <f>template_label_geolocalisation_warning</f>
        <v>ℹ️ Si prega di fare attenzione a separare ogni numero della via e numero civico utilizzando il simbolo barra "/" e non la virgola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68"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796"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Pratiche, politiche e iniziative future per la transizione verso un'economia più sostenibile da 2024-01-01 a 2024-12-31 [Se applicabile]</v>
      </c>
      <c r="D551" s="867"/>
      <c r="E551" s="867"/>
      <c r="F551" s="867"/>
      <c r="G551" s="867"/>
      <c r="H551" s="867"/>
      <c r="I551" s="867"/>
      <c r="J551" s="867"/>
      <c r="K551" s="867"/>
      <c r="L551" s="867"/>
      <c r="M551" s="867"/>
      <c r="N551" s="867"/>
      <c r="O551" s="868"/>
    </row>
    <row r="552" spans="2:17" s="10" customFormat="1" x14ac:dyDescent="0.3">
      <c r="C552" s="585" t="s">
        <v>3739</v>
      </c>
      <c r="D552" s="586"/>
      <c r="E552" s="586"/>
      <c r="F552" s="586"/>
      <c r="G552" s="586"/>
      <c r="H552" s="586"/>
      <c r="I552" s="586"/>
      <c r="J552" s="586"/>
      <c r="K552" s="586"/>
      <c r="L552" s="586"/>
      <c r="M552" s="586"/>
      <c r="N552" s="586"/>
      <c r="O552" s="587"/>
      <c r="P552"/>
      <c r="Q552"/>
    </row>
    <row r="553" spans="2:17" x14ac:dyDescent="0.3">
      <c r="C553" s="736" t="s">
        <v>5642</v>
      </c>
      <c r="D553" s="949"/>
      <c r="E553" s="949"/>
      <c r="F553" s="949"/>
      <c r="G553" s="949"/>
      <c r="H553" s="949"/>
      <c r="I553" s="949"/>
      <c r="J553" s="949"/>
      <c r="K553" s="949"/>
      <c r="L553" s="949"/>
      <c r="M553" s="949"/>
      <c r="N553" s="949"/>
      <c r="O553" s="798"/>
    </row>
    <row r="554" spans="2:17" x14ac:dyDescent="0.3">
      <c r="C554" s="952" t="str">
        <f>template_label_has_the_undertaking_put_in_place_specific_practices_policies_and_or_future</f>
        <v>L'impresa ha predisposto pratiche, politiche e/o iniziative future specifiche per la transizione verso un'economia più sostenibile?</v>
      </c>
      <c r="D554" s="957" t="str">
        <f>template_label_sustainability_issues_addressed_by_a_practice_policy_and_or_future_initiatives_put_in_place</f>
        <v xml:space="preserve">Questioni attinenti alla sostenibilità affrontate da una pratica, politica e/o iniziative future che l'impresa ha predisposto
</v>
      </c>
      <c r="E554" s="957"/>
      <c r="F554" s="957"/>
      <c r="G554" s="957"/>
      <c r="H554" s="957"/>
      <c r="I554" s="957"/>
      <c r="J554" s="957"/>
      <c r="K554" s="957"/>
      <c r="L554" s="957"/>
      <c r="M554" s="957"/>
      <c r="N554" s="859" t="str">
        <f>template_label_undertaking_has_a_practice_policy_and_or_future_initiative_that_is_publicly_available</f>
        <v xml:space="preserve">L'impresa ha una pratica, politica e/o un'iniziativa futura che è disponibile al pubblico
</v>
      </c>
      <c r="O554" s="958" t="str">
        <f>template_label_undertaking_has_set_a_target_which_is_related_to_a_policy</f>
        <v>L'impresa ha stabilito un obiettivo che è collegato a una politica</v>
      </c>
    </row>
    <row r="555" spans="2:17" ht="41.4" customHeight="1" x14ac:dyDescent="0.3">
      <c r="C555" s="953"/>
      <c r="D555" s="85" t="str">
        <f>template_label_climate_change</f>
        <v>Cambiamenti climatici</v>
      </c>
      <c r="E555" s="85" t="str">
        <f>template_label_pollution</f>
        <v>Inquinamento</v>
      </c>
      <c r="F555" s="85" t="str">
        <f>template_label_water_and_marine_resources</f>
        <v>Acque e risorse marine</v>
      </c>
      <c r="G555" s="85" t="str">
        <f>template_label_biodiversity_and_ecosystems</f>
        <v>Biodiversità ed ecosistemi</v>
      </c>
      <c r="H555" s="85" t="str">
        <f>template_label_circular_economy</f>
        <v>Economia circolare</v>
      </c>
      <c r="I555" s="85" t="str">
        <f>template_label_own_workforce</f>
        <v>Forza lavoro propria</v>
      </c>
      <c r="J555" s="85" t="str">
        <f>template_label_workers_in_the_value_chain</f>
        <v xml:space="preserve">Lavoratori nella catena del valore
</v>
      </c>
      <c r="K555" s="85" t="str">
        <f>template_label_affected_communities</f>
        <v xml:space="preserve">Comunità interessate
</v>
      </c>
      <c r="L555" s="85" t="str">
        <f>template_label_consumers_and_endusers_validation</f>
        <v>Consumatori e utilizzatori finali</v>
      </c>
      <c r="M555" s="85" t="str">
        <f>template_label_business_conduct</f>
        <v>Condotta delle imprese</v>
      </c>
      <c r="N555" s="861"/>
      <c r="O555" s="959"/>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944" t="str">
        <f xml:space="preserve"> template_label_b2_cooperative_specific_disclosures &amp; " " &amp; template_label_from &amp; " " &amp; template_starting_date_display &amp; " " &amp; template_label_to &amp; " " &amp; template_ending_date_display &amp; " " &amp; template_label_if_applicable</f>
        <v>B2 - Informative specifiche per cooperative da 2024-01-01 a 2024-12-31 [Se applicabile]</v>
      </c>
      <c r="D558" s="945"/>
      <c r="F558"/>
    </row>
    <row r="559" spans="2:17" x14ac:dyDescent="0.3">
      <c r="C559" s="950">
        <v>15</v>
      </c>
      <c r="D559" s="951"/>
      <c r="F559"/>
    </row>
    <row r="560" spans="2:17" ht="30.6" customHeight="1" x14ac:dyDescent="0.3">
      <c r="B560" s="251"/>
      <c r="C560" s="2" t="str">
        <f>template_label_effective_participation_of_workers_users_or_other_interested_parties_or_communities_in_governance</f>
        <v>Se l'impresa è una cooperativa, può comunicare: la partecipazione effettiva alla governance dei lavoratori, utilizzatori e altre parti o comunità interessate.</v>
      </c>
      <c r="D560" s="294"/>
      <c r="E560" s="16" t="str">
        <f>IF(AND(D560&lt;&gt;"", UndertakingsLegalForm="cooperative"), template_label_ok, "")</f>
        <v/>
      </c>
      <c r="F560"/>
    </row>
    <row r="561" spans="1:8" ht="57" customHeight="1" x14ac:dyDescent="0.3">
      <c r="B561" s="251"/>
      <c r="C561" s="421" t="str">
        <f>template_label_financial_investment_in_the_capital_or_assets_of_social_economy_entities</f>
        <v>L'investimento finanziario nel capitale o negli attivi dei soggetti dell'economia sociale di cui alla Raccomandazione del Consiglio del 29 settembre 2023 (escluse le donazioni e i contributi)</v>
      </c>
      <c r="D561" s="295"/>
      <c r="E561" s="16" t="str">
        <f>IF(AND(D561&lt;&gt;"", UndertakingsLegalForm="cooperative"), template_label_ok, "")</f>
        <v/>
      </c>
      <c r="F561"/>
    </row>
    <row r="562" spans="1:8" ht="47.4" customHeight="1" thickBot="1" x14ac:dyDescent="0.35">
      <c r="B562" s="251"/>
      <c r="C562" s="113" t="str">
        <f>template_label_limits_to_the_distribution_of_profits</f>
        <v>Eventuali limiti alla distribuzione degli utili connessi alla natura mutualistica o alla natura delle attività che consistono in servizi di interesse economico generale (SIEG)</v>
      </c>
      <c r="D562" s="296"/>
      <c r="E562" s="16" t="str">
        <f>IF(AND(D562&lt;&gt;"", UndertakingsLegalForm="cooperative"), template_label_ok, "")</f>
        <v/>
      </c>
      <c r="F562"/>
    </row>
    <row r="563" spans="1:8" ht="49.95" customHeight="1" thickBot="1" x14ac:dyDescent="0.35">
      <c r="C563" s="119"/>
      <c r="F563"/>
    </row>
    <row r="564" spans="1:8" x14ac:dyDescent="0.3">
      <c r="C564" s="926"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Descrizione delle pratiche, delle politiche e delle iniziative future per la transizione verso un'economia più sostenibile da 2024-01-01 a 2024-12-31 [Se applicabile collegato a B2]</v>
      </c>
      <c r="D564" s="927"/>
      <c r="E564" s="927"/>
      <c r="F564" s="927"/>
      <c r="G564" s="928"/>
    </row>
    <row r="565" spans="1:8" ht="37.950000000000003" customHeight="1" x14ac:dyDescent="0.3">
      <c r="A565" s="443">
        <v>48</v>
      </c>
      <c r="B565" s="446">
        <v>149</v>
      </c>
      <c r="C565" s="652" t="str">
        <f>template_label_description_of_a_practice_policy_and_or_future_initiative_towards_a_more_sustainable_future</f>
        <v>Descrizione di una pratica, politica e/o iniziativa futura verso un futuro più sostenibile (nel caso in cui la pratica, politica o iniziativa futura riguardi fornitori o clienti, l'impresa dovrà menzionarlo)</v>
      </c>
      <c r="D565" s="653"/>
      <c r="E565" s="674" t="s">
        <v>9553</v>
      </c>
      <c r="F565" s="675"/>
      <c r="G565" s="676"/>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46">
        <v>149</v>
      </c>
      <c r="C566" s="895" t="str">
        <f>template_label_description_of_target_related_to_a_policy</f>
        <v>Descrizione dell'obiettivo relativo a una politica</v>
      </c>
      <c r="D566" s="896"/>
      <c r="E566" s="674"/>
      <c r="F566" s="675"/>
      <c r="G566" s="676"/>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43">
        <v>49</v>
      </c>
      <c r="B567" s="446">
        <v>149</v>
      </c>
      <c r="C567" s="655" t="str">
        <f>template_label_most_senior_level_accountable_for_implementing_practices_policies_and_or_future_initiatives</f>
        <v>Il livello gerarchico più elevato tra i suoi dipendenticui spetta la responsabilità dell'attuazione delle politiche, laddove l'impresa lo abbia stabilito</v>
      </c>
      <c r="D567" s="656"/>
      <c r="E567" s="680" t="s">
        <v>9553</v>
      </c>
      <c r="F567" s="681"/>
      <c r="G567" s="682"/>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926"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Strategia: modello aziendale e iniziative connesse alla sostenibilità da 2024-01-01 a 2024-12-31 [Sempre da riportare]</v>
      </c>
      <c r="D570" s="927"/>
      <c r="E570" s="927"/>
      <c r="F570" s="927"/>
      <c r="G570" s="928"/>
    </row>
    <row r="571" spans="1:8" x14ac:dyDescent="0.3">
      <c r="A571" s="441" t="s">
        <v>3740</v>
      </c>
      <c r="B571" s="249" t="s">
        <v>1</v>
      </c>
      <c r="C571" s="884" t="str">
        <f>template_label_description_of_significant_groups_of_products_and_or_services_offered</f>
        <v>Descrizione dei gruppi significativi di prodotti e/o servizi offerti</v>
      </c>
      <c r="D571" s="885"/>
      <c r="E571" s="875" t="s">
        <v>9553</v>
      </c>
      <c r="F571" s="876"/>
      <c r="G571" s="877"/>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41" t="s">
        <v>3741</v>
      </c>
      <c r="B572" s="249" t="s">
        <v>1</v>
      </c>
      <c r="C572" s="886" t="str">
        <f>template_label_description_of_significant_market_the_undertaking_operates_in</f>
        <v>Descrizione del/i mercato/i significativo/i in cui opera l'impresa (ad esempio da impresa a impresa (B2B), all'ingrosso, al dettaglio, paesi)</v>
      </c>
      <c r="D572" s="887"/>
      <c r="E572" s="878" t="s">
        <v>9553</v>
      </c>
      <c r="F572" s="878"/>
      <c r="G572" s="879"/>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41" t="s">
        <v>3742</v>
      </c>
      <c r="B573" s="444">
        <v>148</v>
      </c>
      <c r="C573" s="882" t="str">
        <f>template_label_description_of_main_business_relationships</f>
        <v>Descrizione dei principali rapporti commerciali (ad esempio fornitori, clienti, canali di distribuzione chiave)</v>
      </c>
      <c r="D573" s="883"/>
      <c r="E573" s="880" t="s">
        <v>9553</v>
      </c>
      <c r="F573" s="880"/>
      <c r="G573" s="881"/>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926"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Strategia: modello aziendale e iniziative connesse alla sostenibilità da 2024-01-01 a 2024-12-31 [Se applicabile]</v>
      </c>
      <c r="D575" s="927"/>
      <c r="E575" s="927"/>
      <c r="F575" s="927"/>
      <c r="G575" s="928"/>
    </row>
    <row r="576" spans="1:8" x14ac:dyDescent="0.3">
      <c r="C576" s="963" t="str">
        <f>template_label_has_the_strategy_key_elements_that_relate_to_or_affect_sustainability_issues</f>
        <v>La strategia presenta elementi chiave che riguardano o hanno ripercussioni su questioni attinenti alla sostenibilità?</v>
      </c>
      <c r="D576" s="964"/>
      <c r="E576" s="562" t="b">
        <v>1</v>
      </c>
      <c r="F576" s="562"/>
      <c r="G576" s="563"/>
    </row>
    <row r="577" spans="1:15" ht="15" thickBot="1" x14ac:dyDescent="0.35">
      <c r="A577" s="441" t="s">
        <v>3743</v>
      </c>
      <c r="B577" s="249" t="s">
        <v>1</v>
      </c>
      <c r="C577" s="655" t="str">
        <f>template_label_description_of_those_key_elements_in_the_strategy_that_relate_or_affect_sustainability_issues</f>
        <v>Se la strategia presenta elementi chiave che riguardano o hanno ripercussioni su questioni attinenti alla sostenibilità, una breve descrizione di tali elementi chiave.</v>
      </c>
      <c r="D577" s="656"/>
      <c r="E577" s="786" t="s">
        <v>9553</v>
      </c>
      <c r="F577" s="786"/>
      <c r="G577" s="788"/>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671"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Comunicazione di qualsiasi altra informazione generale e/o specifica per soggetto riguardante il periodo di riferimento da 2024-01-01 a 2024-12-31 [Facoltà (facoltativo)]</v>
      </c>
      <c r="D579" s="672"/>
      <c r="E579" s="672"/>
      <c r="F579" s="672"/>
      <c r="G579" s="672"/>
      <c r="H579" s="673"/>
      <c r="I579" s="10"/>
      <c r="J579" s="10"/>
      <c r="K579" s="10"/>
      <c r="L579" s="10"/>
      <c r="M579" s="10"/>
      <c r="N579" s="10"/>
      <c r="O579" s="10"/>
    </row>
    <row r="580" spans="1:15" ht="14.85" customHeight="1" x14ac:dyDescent="0.3">
      <c r="B580" s="251"/>
      <c r="C580" s="873">
        <v>10</v>
      </c>
      <c r="D580" s="873"/>
      <c r="E580" s="873"/>
      <c r="F580" s="873"/>
      <c r="G580" s="873"/>
      <c r="H580" s="874"/>
      <c r="I580" s="10"/>
      <c r="J580" s="10"/>
      <c r="K580" s="10"/>
      <c r="L580" s="10"/>
      <c r="M580" s="10"/>
      <c r="N580" s="10"/>
      <c r="O580" s="10"/>
    </row>
    <row r="581" spans="1:15" ht="15" thickBot="1" x14ac:dyDescent="0.35">
      <c r="C581" s="666"/>
      <c r="D581" s="667"/>
      <c r="E581" s="667"/>
      <c r="F581" s="667"/>
      <c r="G581" s="667"/>
      <c r="H581" s="667"/>
      <c r="I581" s="87" t="str">
        <f>IF(C581&lt;&gt;"", template_label_ok, "")</f>
        <v/>
      </c>
    </row>
  </sheetData>
  <sheetProtection algorithmName="SHA-512" hashValue="/Tbt5pFQL2Kn6pQkzaedYbm0G1tV9X1+BKHG38E2netOKXl77OD+H7icwWDMNV4rxBBI+LsHJ4G/qeI2u9+Z+Q==" saltValue="lqiPM2tqId1HJzMjzruAPA==" spinCount="100000" sheet="1" formatColumns="0" formatRows="0" insertRows="0"/>
  <mergeCells count="87">
    <mergeCell ref="C576:D576"/>
    <mergeCell ref="E576:G576"/>
    <mergeCell ref="C575:G575"/>
    <mergeCell ref="C567:D567"/>
    <mergeCell ref="E565:G565"/>
    <mergeCell ref="E567:G567"/>
    <mergeCell ref="E566:G566"/>
    <mergeCell ref="C565:D565"/>
    <mergeCell ref="C566:D566"/>
    <mergeCell ref="C570:G570"/>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A226:A325"/>
    <mergeCell ref="B226:B325"/>
    <mergeCell ref="C330:D330"/>
    <mergeCell ref="C331:D331"/>
    <mergeCell ref="C326:D326"/>
    <mergeCell ref="C329:D329"/>
    <mergeCell ref="C226:D325"/>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G10:K12"/>
    <mergeCell ref="C552:O552"/>
    <mergeCell ref="F446:F449"/>
    <mergeCell ref="E446:E449"/>
    <mergeCell ref="D446:D449"/>
    <mergeCell ref="C334:E334"/>
    <mergeCell ref="E441:H441"/>
    <mergeCell ref="C551:O551"/>
  </mergeCells>
  <phoneticPr fontId="3" type="noConversion"/>
  <conditionalFormatting sqref="C19 E19:E119 C119:D119">
    <cfRule type="expression" dxfId="336" priority="87">
      <formula>$E$18=TRUE</formula>
    </cfRule>
  </conditionalFormatting>
  <conditionalFormatting sqref="C225">
    <cfRule type="expression" dxfId="335" priority="103">
      <formula>$E$224="other (please specify the legal form in the row below)"</formula>
    </cfRule>
  </conditionalFormatting>
  <conditionalFormatting sqref="D560:D562">
    <cfRule type="expression" dxfId="334" priority="8">
      <formula>$E$224="cooperative"</formula>
    </cfRule>
  </conditionalFormatting>
  <conditionalFormatting sqref="D336:E435">
    <cfRule type="expression" dxfId="333" priority="55">
      <formula>$E$223="Sustainability report prepared on a consolidated basis"</formula>
    </cfRule>
  </conditionalFormatting>
  <conditionalFormatting sqref="D556:O556 E565 E567">
    <cfRule type="expression" dxfId="332" priority="17">
      <formula>$C$556=TRUE</formula>
    </cfRule>
  </conditionalFormatting>
  <conditionalFormatting sqref="D556:O556">
    <cfRule type="expression" dxfId="331" priority="27">
      <formula>$C$556=TRUE</formula>
    </cfRule>
  </conditionalFormatting>
  <conditionalFormatting sqref="E19:E118">
    <cfRule type="expression" dxfId="330" priority="141">
      <formula>AND(ISBLANK(#REF!), $E$18=TRUE)</formula>
    </cfRule>
  </conditionalFormatting>
  <conditionalFormatting sqref="E124:E222">
    <cfRule type="expression" dxfId="329" priority="75">
      <formula>$E$18=TRUE</formula>
    </cfRule>
    <cfRule type="expression" dxfId="328" priority="76">
      <formula>AND(ISBLANK(#REF!), $E$18=TRUE)</formula>
    </cfRule>
  </conditionalFormatting>
  <conditionalFormatting sqref="E225">
    <cfRule type="expression" dxfId="327" priority="102">
      <formula>$E$224="other (please specify the legal form in the row below)"</formula>
    </cfRule>
  </conditionalFormatting>
  <conditionalFormatting sqref="E440">
    <cfRule type="expression" dxfId="326" priority="53">
      <formula>$D$347="YES"</formula>
    </cfRule>
  </conditionalFormatting>
  <conditionalFormatting sqref="E560:E562">
    <cfRule type="expression" dxfId="325" priority="11">
      <formula>$E560=template_label_ok</formula>
    </cfRule>
  </conditionalFormatting>
  <conditionalFormatting sqref="E566:G566">
    <cfRule type="expression" dxfId="324" priority="371">
      <formula>AND($C$556=TRUE,$O$556=TRUE)</formula>
    </cfRule>
  </conditionalFormatting>
  <conditionalFormatting sqref="E577:G577">
    <cfRule type="expression" dxfId="323" priority="44">
      <formula>$E$576=TRUE</formula>
    </cfRule>
  </conditionalFormatting>
  <conditionalFormatting sqref="E441:H441">
    <cfRule type="expression" dxfId="322" priority="52">
      <formula>$E$440=TRUE</formula>
    </cfRule>
  </conditionalFormatting>
  <conditionalFormatting sqref="F3:F5 F336:F435">
    <cfRule type="expression" dxfId="321" priority="147">
      <formula>$F3=template_label_missing_value</formula>
    </cfRule>
    <cfRule type="expression" dxfId="320" priority="146">
      <formula>$F3=template_label_ok</formula>
    </cfRule>
  </conditionalFormatting>
  <conditionalFormatting sqref="F6:F8">
    <cfRule type="expression" dxfId="319" priority="2">
      <formula>$F$6=template_label_error</formula>
    </cfRule>
    <cfRule type="expression" dxfId="318" priority="57">
      <formula>$F$6=template_label_value_inconsistency</formula>
    </cfRule>
    <cfRule type="expression" dxfId="317" priority="59">
      <formula>$F$6=template_label_ok</formula>
    </cfRule>
    <cfRule type="expression" dxfId="316" priority="60">
      <formula>$F$6=template_label_missing_value</formula>
    </cfRule>
  </conditionalFormatting>
  <conditionalFormatting sqref="F10">
    <cfRule type="expression" dxfId="315" priority="56">
      <formula>$F$10=template_label_error</formula>
    </cfRule>
    <cfRule type="expression" dxfId="314" priority="61">
      <formula>$F$10=template_label_missing_value</formula>
    </cfRule>
    <cfRule type="expression" dxfId="313" priority="62">
      <formula>$F$10=template_label_value_inconsistency</formula>
    </cfRule>
    <cfRule type="expression" dxfId="312" priority="63">
      <formula>$F$10=template_label_ok</formula>
    </cfRule>
  </conditionalFormatting>
  <conditionalFormatting sqref="F13:F14">
    <cfRule type="expression" dxfId="311" priority="65">
      <formula>$F13="OK"</formula>
    </cfRule>
    <cfRule type="expression" dxfId="310" priority="64">
      <formula>$F13="MISSING VALUE"</formula>
    </cfRule>
  </conditionalFormatting>
  <conditionalFormatting sqref="F18">
    <cfRule type="expression" dxfId="309" priority="88">
      <formula>$F$18=template_label_ok</formula>
    </cfRule>
  </conditionalFormatting>
  <conditionalFormatting sqref="F19:F119">
    <cfRule type="expression" dxfId="308" priority="7">
      <formula>$F19=template_label_value_inconsistency</formula>
    </cfRule>
    <cfRule type="expression" dxfId="307" priority="85">
      <formula>$F19=template_label_missing_value</formula>
    </cfRule>
    <cfRule type="expression" dxfId="306" priority="86">
      <formula>$F19=template_label_ok</formula>
    </cfRule>
  </conditionalFormatting>
  <conditionalFormatting sqref="F119">
    <cfRule type="expression" dxfId="305" priority="12">
      <formula>$F$119=template_label_invalid_url</formula>
    </cfRule>
  </conditionalFormatting>
  <conditionalFormatting sqref="F122">
    <cfRule type="expression" dxfId="304" priority="69">
      <formula>$F122=template_label_ok</formula>
    </cfRule>
    <cfRule type="expression" dxfId="303" priority="68">
      <formula>$F122=template_label_missing_value</formula>
    </cfRule>
  </conditionalFormatting>
  <conditionalFormatting sqref="F123">
    <cfRule type="expression" dxfId="302" priority="119">
      <formula>$F$123=template_label_ok</formula>
    </cfRule>
    <cfRule type="expression" dxfId="301" priority="5">
      <formula>$F$123=template_label_value_inconsistency</formula>
    </cfRule>
    <cfRule type="expression" dxfId="300" priority="118">
      <formula>$F$123=template_label_missing_value</formula>
    </cfRule>
  </conditionalFormatting>
  <conditionalFormatting sqref="F124:F222">
    <cfRule type="expression" dxfId="299" priority="74">
      <formula>$F124="OK"</formula>
    </cfRule>
    <cfRule type="expression" dxfId="298" priority="6">
      <formula>$F124="VALUE INCONSISTENCY"</formula>
    </cfRule>
    <cfRule type="expression" dxfId="297" priority="73">
      <formula>$F124="MISSING VALUE"</formula>
    </cfRule>
  </conditionalFormatting>
  <conditionalFormatting sqref="F223">
    <cfRule type="expression" dxfId="296" priority="128">
      <formula>$F$223=template_label_ok</formula>
    </cfRule>
    <cfRule type="expression" dxfId="295" priority="151">
      <formula>$F$223=template_label_missing_value</formula>
    </cfRule>
  </conditionalFormatting>
  <conditionalFormatting sqref="F224">
    <cfRule type="expression" dxfId="294" priority="127">
      <formula>$F$224=template_label_ok</formula>
    </cfRule>
    <cfRule type="expression" dxfId="293" priority="126">
      <formula>$F$224=template_label_missing_value</formula>
    </cfRule>
  </conditionalFormatting>
  <conditionalFormatting sqref="F225">
    <cfRule type="expression" dxfId="292" priority="89">
      <formula>$F$225=template_label_missing_value</formula>
    </cfRule>
    <cfRule type="expression" dxfId="291" priority="90">
      <formula>$F$225=template_label_ok</formula>
    </cfRule>
  </conditionalFormatting>
  <conditionalFormatting sqref="F226">
    <cfRule type="expression" dxfId="290" priority="4">
      <formula>$F$226=template_label_value_inconsistency</formula>
    </cfRule>
    <cfRule type="expression" dxfId="289" priority="41">
      <formula>$F$226=template_label_error</formula>
    </cfRule>
    <cfRule type="expression" dxfId="288" priority="149">
      <formula>$F$226=template_label_missing_value</formula>
    </cfRule>
    <cfRule type="expression" dxfId="287" priority="148">
      <formula>$F$226=template_label_ok</formula>
    </cfRule>
  </conditionalFormatting>
  <conditionalFormatting sqref="F227:F325">
    <cfRule type="expression" dxfId="286" priority="38">
      <formula>$F227=template_label_missing_value</formula>
    </cfRule>
    <cfRule type="expression" dxfId="285" priority="3">
      <formula>$F227=template_label_value_inconsistency</formula>
    </cfRule>
    <cfRule type="expression" dxfId="284" priority="40">
      <formula>$F227=template_label_error</formula>
    </cfRule>
    <cfRule type="expression" dxfId="283" priority="39">
      <formula>$F227=template_label_ok</formula>
    </cfRule>
  </conditionalFormatting>
  <conditionalFormatting sqref="F326">
    <cfRule type="expression" dxfId="282" priority="135">
      <formula>$F$326=template_label_ok</formula>
    </cfRule>
    <cfRule type="expression" dxfId="281" priority="136">
      <formula>$F$326=template_label_missing_value</formula>
    </cfRule>
  </conditionalFormatting>
  <conditionalFormatting sqref="F327:F331">
    <cfRule type="expression" dxfId="280" priority="133">
      <formula>$F327=template_label_ok</formula>
    </cfRule>
    <cfRule type="expression" dxfId="279" priority="134">
      <formula>$F327=template_label_missing_value</formula>
    </cfRule>
  </conditionalFormatting>
  <conditionalFormatting sqref="F435">
    <cfRule type="expression" dxfId="278" priority="272">
      <formula>$F446="MISSING VALUE"</formula>
    </cfRule>
    <cfRule type="expression" dxfId="277" priority="273">
      <formula>$F446="OK"</formula>
    </cfRule>
  </conditionalFormatting>
  <conditionalFormatting sqref="G224">
    <cfRule type="expression" dxfId="276" priority="132">
      <formula>$G$224="Please specify the legal form in the row below"</formula>
    </cfRule>
  </conditionalFormatting>
  <conditionalFormatting sqref="H450:H549">
    <cfRule type="expression" dxfId="275" priority="13">
      <formula>$H$449=FALSE</formula>
    </cfRule>
  </conditionalFormatting>
  <conditionalFormatting sqref="H565:H567">
    <cfRule type="expression" dxfId="274" priority="15">
      <formula>$H565=template_label_ok</formula>
    </cfRule>
    <cfRule type="expression" dxfId="273" priority="14">
      <formula>$H565=template_label_missing_value</formula>
    </cfRule>
  </conditionalFormatting>
  <conditionalFormatting sqref="H571:H573 H577">
    <cfRule type="expression" dxfId="272" priority="101">
      <formula>$H571=template_label_missing_value</formula>
    </cfRule>
    <cfRule type="expression" dxfId="271" priority="100">
      <formula>$H571=template_label_ok</formula>
    </cfRule>
  </conditionalFormatting>
  <conditionalFormatting sqref="I441">
    <cfRule type="expression" dxfId="270" priority="43">
      <formula>$I$441=template_label_missing_value</formula>
    </cfRule>
    <cfRule type="expression" dxfId="269" priority="84">
      <formula>$I$441=template_label_ok</formula>
    </cfRule>
  </conditionalFormatting>
  <conditionalFormatting sqref="I450:I549">
    <cfRule type="expression" dxfId="268" priority="92">
      <formula>$I450=template_label_missing_value</formula>
    </cfRule>
    <cfRule type="expression" dxfId="267" priority="91">
      <formula>$I450=template_label_ok</formula>
    </cfRule>
  </conditionalFormatting>
  <conditionalFormatting sqref="I581">
    <cfRule type="expression" dxfId="266" priority="83">
      <formula>$I$581=template_label_ok</formula>
    </cfRule>
  </conditionalFormatting>
  <conditionalFormatting sqref="P556">
    <cfRule type="expression" dxfId="265" priority="23">
      <formula>$P$556=template_label_missing_value</formula>
    </cfRule>
    <cfRule type="expression" dxfId="264"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topLeftCell="C33" zoomScale="83" zoomScaleNormal="100" workbookViewId="0">
      <selection activeCell="D57" sqref="D57:K57"/>
    </sheetView>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Riferimento al paragrafo</v>
      </c>
      <c r="B1" s="257" t="str">
        <f>template_label_paragraph_guidance_reference</f>
        <v xml:space="preserve">Riferimento al paragrafo degli orientamenti
</v>
      </c>
    </row>
    <row r="2" spans="1:13" x14ac:dyDescent="0.3">
      <c r="C2" s="579" t="str">
        <f>template_label_b3_total_energy_consumption&amp;" "&amp;template_label_from&amp;" "&amp;template_starting_date_display&amp;" "&amp;template_label_to&amp;" "&amp;template_ending_date_display&amp;" "&amp;template_label_always_to_be_reported</f>
        <v>B3 - Consumo totale di energia (in MWh) da 2024-01-01 a 2024-12-31 [Sempre da riportare]</v>
      </c>
      <c r="D2" s="580"/>
      <c r="E2" s="580"/>
      <c r="F2" s="580"/>
      <c r="G2" s="580"/>
      <c r="H2" s="580"/>
      <c r="I2" s="580"/>
      <c r="J2" s="580"/>
      <c r="K2" s="581"/>
    </row>
    <row r="3" spans="1:13" x14ac:dyDescent="0.3">
      <c r="C3" s="585">
        <v>29</v>
      </c>
      <c r="D3" s="586"/>
      <c r="E3" s="586"/>
      <c r="F3" s="586"/>
      <c r="G3" s="586"/>
      <c r="H3" s="586"/>
      <c r="I3" s="586"/>
      <c r="J3" s="586"/>
      <c r="K3" s="587"/>
    </row>
    <row r="4" spans="1:13" x14ac:dyDescent="0.3">
      <c r="C4" s="582" t="s">
        <v>5643</v>
      </c>
      <c r="D4" s="583"/>
      <c r="E4" s="583"/>
      <c r="F4" s="583"/>
      <c r="G4" s="583"/>
      <c r="H4" s="583"/>
      <c r="I4" s="583"/>
      <c r="J4" s="583"/>
      <c r="K4" s="584"/>
    </row>
    <row r="5" spans="1:13" ht="15" thickBot="1" x14ac:dyDescent="0.35">
      <c r="C5" s="605" t="str">
        <f>template_label_total_energy_consumption</f>
        <v>Consumo totale di energia</v>
      </c>
      <c r="D5" s="606"/>
      <c r="E5" s="606"/>
      <c r="F5" s="607"/>
      <c r="G5" s="622">
        <v>250</v>
      </c>
      <c r="H5" s="623"/>
      <c r="I5" s="623"/>
      <c r="J5" s="623"/>
      <c r="K5" s="624"/>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579" t="str">
        <f>template_label_b3_breakdown_of_energy_consumption&amp;" "&amp;template_label_from&amp;" "&amp;template_starting_date_display&amp;" "&amp;template_label_to&amp;" "&amp;template_ending_date_display&amp;" "&amp;template_label_if_applicable</f>
        <v>B3 - Ripartizione del consumo di energia (in MWh) da 2024-01-01 a 2024-12-31 [Se applicabile]</v>
      </c>
      <c r="D7" s="580"/>
      <c r="E7" s="580"/>
      <c r="F7" s="580"/>
      <c r="G7" s="580"/>
      <c r="H7" s="580"/>
      <c r="I7" s="580"/>
      <c r="J7" s="580"/>
      <c r="K7" s="581"/>
    </row>
    <row r="8" spans="1:13" x14ac:dyDescent="0.3">
      <c r="C8" s="585">
        <v>29</v>
      </c>
      <c r="D8" s="586"/>
      <c r="E8" s="586"/>
      <c r="F8" s="586"/>
      <c r="G8" s="586"/>
      <c r="H8" s="586"/>
      <c r="I8" s="586"/>
      <c r="J8" s="586"/>
      <c r="K8" s="587"/>
    </row>
    <row r="9" spans="1:13" x14ac:dyDescent="0.3">
      <c r="C9" s="582" t="s">
        <v>5643</v>
      </c>
      <c r="D9" s="583"/>
      <c r="E9" s="583"/>
      <c r="F9" s="583"/>
      <c r="G9" s="583"/>
      <c r="H9" s="583"/>
      <c r="I9" s="583"/>
      <c r="J9" s="583"/>
      <c r="K9" s="584"/>
    </row>
    <row r="10" spans="1:13" x14ac:dyDescent="0.3">
      <c r="C10" s="560" t="str">
        <f>template_label_has_the_undertaking_obtained_the_necessary_information_to_provide_an_energy_consumption_breakdown</f>
        <v>L'impresa ha ottenuto le informazioni necessarie per fornire una ripartizione del consumo di energia?</v>
      </c>
      <c r="D10" s="561"/>
      <c r="E10" s="561"/>
      <c r="F10" s="561"/>
      <c r="G10" s="562" t="b">
        <v>1</v>
      </c>
      <c r="H10" s="562"/>
      <c r="I10" s="562"/>
      <c r="J10" s="562"/>
      <c r="K10" s="563"/>
    </row>
    <row r="11" spans="1:13" ht="38.700000000000003" customHeight="1" x14ac:dyDescent="0.3">
      <c r="C11" s="638"/>
      <c r="D11" s="639"/>
      <c r="E11" s="639"/>
      <c r="F11" s="639"/>
      <c r="G11" s="620" t="str">
        <f>template_label_renewable</f>
        <v>Rinnovabile</v>
      </c>
      <c r="H11" s="621"/>
      <c r="I11" s="621"/>
      <c r="J11" s="102" t="str">
        <f>template_label_non_renewable</f>
        <v>Non rinnovabile</v>
      </c>
      <c r="K11" s="103" t="str">
        <f>template_label_total_renewable_and_nonrenewable</f>
        <v>Totale rinnovabile e non rinnovabile</v>
      </c>
      <c r="L11" s="16"/>
    </row>
    <row r="12" spans="1:13" x14ac:dyDescent="0.3">
      <c r="C12" s="608" t="str">
        <f>template_label_electricity</f>
        <v>Energia elettrica (secondo quanto risulta dalle bollette)</v>
      </c>
      <c r="D12" s="609"/>
      <c r="E12" s="609"/>
      <c r="F12" s="610"/>
      <c r="G12" s="614">
        <v>10</v>
      </c>
      <c r="H12" s="615"/>
      <c r="I12" s="616"/>
      <c r="J12" s="260">
        <v>100</v>
      </c>
      <c r="K12" s="297">
        <f>IF(AND(G12="",J12=""),"-",SUM(G12:J12))</f>
        <v>110</v>
      </c>
      <c r="L12" s="527" t="str" cm="1">
        <f t="array" ref="L12">IF(G10=TRUE,
    IF(SUMPRODUCT(--(G12:J14&lt;&gt;"-"), --(G12:J14&lt;&gt;""))&gt;0,
        IF(SUM(G12:J14) &gt; TotalEnergyConsumption, template_label_value_inconsistency, template_label_ok),
        template_label_missing_value),
"")</f>
        <v>OK</v>
      </c>
    </row>
    <row r="13" spans="1:13" x14ac:dyDescent="0.3">
      <c r="C13" s="611" t="str">
        <f>template_label_selfgenerated_electricity</f>
        <v>Energia elettrica autoprodotta</v>
      </c>
      <c r="D13" s="612"/>
      <c r="E13" s="612"/>
      <c r="F13" s="613"/>
      <c r="G13" s="614">
        <v>23</v>
      </c>
      <c r="H13" s="615"/>
      <c r="I13" s="616"/>
      <c r="J13" s="260">
        <v>20</v>
      </c>
      <c r="K13" s="297">
        <f>IF(AND(G13="",J13=""),"-",SUM(G13:J13))</f>
        <v>43</v>
      </c>
      <c r="L13" s="527"/>
    </row>
    <row r="14" spans="1:13" ht="15" thickBot="1" x14ac:dyDescent="0.35">
      <c r="C14" s="640" t="str">
        <f>template_label_fuels</f>
        <v>Combustibili (vedere Convertitore di carburante nel foglio Combustibili)</v>
      </c>
      <c r="D14" s="641"/>
      <c r="E14" s="641"/>
      <c r="F14" s="642"/>
      <c r="G14" s="617" t="str">
        <f>IF('Fuel Converter'!D23=TRUE, 'Fuel Converter'!A32, "-")</f>
        <v>-</v>
      </c>
      <c r="H14" s="618"/>
      <c r="I14" s="619"/>
      <c r="J14" s="261" t="str">
        <f>IF('Fuel Converter'!D23=TRUE, 'Fuel Converter'!B32, "-")</f>
        <v>-</v>
      </c>
      <c r="K14" s="298" t="str">
        <f>IF(AND(G14="-",J14="-"),"-",SUM(G14:J14))</f>
        <v>-</v>
      </c>
      <c r="L14" s="527"/>
      <c r="M14" t="str">
        <f>template_label_energy_consumption_warning</f>
        <v>ℹ️ Si prega di notare che la formula presente in questa cella potrebbe essere sovrascritta nel caso in cui l'impresa voglia fornire direttamente il valore.</v>
      </c>
    </row>
    <row r="15" spans="1:13" ht="15" thickBot="1" x14ac:dyDescent="0.35"/>
    <row r="16" spans="1:13" ht="28.5" customHeight="1" x14ac:dyDescent="0.3">
      <c r="C16" s="596" t="str">
        <f>template_label_b3_estimated_greenhouse_gas_emissions&amp; " "&amp;template_label_always_to_be_reported</f>
        <v>B3 - Emissioni stimate di gas a effetto serra considerando il Greenhouse Gas Protocol versione 2004 (in tCO2e) [Sempre da riportare]</v>
      </c>
      <c r="D16" s="597"/>
      <c r="E16" s="597"/>
      <c r="F16" s="598"/>
      <c r="G16" s="602" t="str">
        <f>template_label_c3_ghg_reduction_targets&amp;" "&amp;template_label_if_applicable</f>
        <v>C3 - Obiettivi di riduzione delle emissioni di gas a effetto serra (in tCO2e) [Se applicabile]</v>
      </c>
      <c r="H16" s="603"/>
      <c r="I16" s="603"/>
      <c r="J16" s="603"/>
      <c r="K16" s="604"/>
    </row>
    <row r="17" spans="1:21" x14ac:dyDescent="0.3">
      <c r="C17" s="599">
        <v>30</v>
      </c>
      <c r="D17" s="600"/>
      <c r="E17" s="600"/>
      <c r="F17" s="601"/>
      <c r="G17" s="599" t="s">
        <v>3744</v>
      </c>
      <c r="H17" s="600"/>
      <c r="I17" s="600"/>
      <c r="J17" s="447" t="s">
        <v>3745</v>
      </c>
      <c r="K17" s="448" t="s">
        <v>3746</v>
      </c>
    </row>
    <row r="18" spans="1:21" ht="15" thickBot="1" x14ac:dyDescent="0.35">
      <c r="C18" s="252" t="s">
        <v>1</v>
      </c>
      <c r="D18" s="552" t="s">
        <v>5644</v>
      </c>
      <c r="E18" s="552"/>
      <c r="F18" s="531"/>
      <c r="G18" s="520" t="s">
        <v>5645</v>
      </c>
      <c r="H18" s="521"/>
      <c r="I18" s="521"/>
      <c r="J18" s="441" t="s">
        <v>5645</v>
      </c>
      <c r="K18" s="450" t="s">
        <v>5645</v>
      </c>
    </row>
    <row r="19" spans="1:21" ht="30" customHeight="1" x14ac:dyDescent="0.3">
      <c r="C19" s="643"/>
      <c r="D19" s="644"/>
      <c r="E19" s="644"/>
      <c r="F19" s="645"/>
      <c r="G19" s="559" t="str">
        <f>template_label_has_the_undertaking_has_established_ghg_emission_reduction_targets</f>
        <v>L'impresa ha stabilito obiettivi di riduzione delle emissioni di gas a effetto serra?</v>
      </c>
      <c r="H19" s="559"/>
      <c r="I19" s="559"/>
      <c r="J19" s="174" t="b">
        <v>1</v>
      </c>
      <c r="K19" s="105"/>
    </row>
    <row r="20" spans="1:21" ht="28.8" x14ac:dyDescent="0.3">
      <c r="C20" s="106"/>
      <c r="D20" s="626" t="str">
        <f>template_label_current_reporting_period</f>
        <v>Periodo di riferimento corrente</v>
      </c>
      <c r="E20" s="626"/>
      <c r="F20" s="649"/>
      <c r="G20" s="625" t="str">
        <f>template_label_base_year</f>
        <v>Anno base</v>
      </c>
      <c r="H20" s="626"/>
      <c r="I20" s="626"/>
      <c r="J20" s="6" t="str">
        <f>template_label_target_year</f>
        <v>Anno-obiettivo</v>
      </c>
      <c r="K20" s="53" t="str">
        <f>template_label_percentage_reduction_from_base_year</f>
        <v>Percentuale di riduzione rispetto all'anno base</v>
      </c>
    </row>
    <row r="21" spans="1:21" x14ac:dyDescent="0.3">
      <c r="A21" s="524" t="str">
        <f>template_label_GHG_calculator</f>
        <v>ℹ️ Controlla il sito EFRAG per un elenco non esaustivo di calcolatori di gas serra.</v>
      </c>
      <c r="B21" s="525"/>
      <c r="C21" s="55" t="str">
        <f>template_label_year_date</f>
        <v>Anno (data)</v>
      </c>
      <c r="D21" s="650" t="str">
        <f>IF('General Information'!$D$9="", "-", 'General Information'!$D$9) &amp; "  -  " &amp; IF('General Information'!$D$13="", "-", 'General Information'!$D$13)</f>
        <v>2024-01-01  -  2024-12-31</v>
      </c>
      <c r="E21" s="650"/>
      <c r="F21" s="651"/>
      <c r="G21" s="627">
        <v>2020</v>
      </c>
      <c r="H21" s="628"/>
      <c r="I21" s="628"/>
      <c r="J21" s="144">
        <v>2030</v>
      </c>
      <c r="K21" s="108"/>
      <c r="L21" s="16" t="str">
        <f>IF(AND(J19=TRUE, G21&lt;&gt;"", J21&lt;&gt;""), template_label_ok,
IF(AND(J19=TRUE, G21="", J21=""), template_label_missing_value,
IF(AND(J19=FALSE, G21="", J21=""), "",
IF(AND(J19=TRUE, OR(G21="", J21="")), template_label_missing_value, ""))))</f>
        <v>OK</v>
      </c>
    </row>
    <row r="22" spans="1:21" x14ac:dyDescent="0.3">
      <c r="A22" s="524"/>
      <c r="B22" s="525"/>
      <c r="C22" s="4" t="str">
        <f>template_label_gross_scope_1_ghg_emissions</f>
        <v>Emissioni lorde di gas a effetto serra di ambito 1</v>
      </c>
      <c r="D22" s="550">
        <v>100</v>
      </c>
      <c r="E22" s="550"/>
      <c r="F22" s="551"/>
      <c r="G22" s="616">
        <v>150</v>
      </c>
      <c r="H22" s="629"/>
      <c r="I22" s="629"/>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524"/>
      <c r="B23" s="525"/>
      <c r="C23" s="4" t="str">
        <f>template_label_gross_scope_2_location_based_ghg_emissions</f>
        <v>Emissioni lorde di gas a effetto serra di ambito 2 basate sulla posizione</v>
      </c>
      <c r="D23" s="576">
        <v>50</v>
      </c>
      <c r="E23" s="577"/>
      <c r="F23" s="578"/>
      <c r="G23" s="616">
        <v>75</v>
      </c>
      <c r="H23" s="629"/>
      <c r="I23" s="629"/>
      <c r="J23" s="260">
        <v>50</v>
      </c>
      <c r="K23" s="109">
        <f t="shared" ref="K23:K26" si="0">IF(AND(G23="", J23=""), "-", IFERROR(-(1 - (J23 / G23)), "-"))</f>
        <v>-0.33333333333333337</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524"/>
      <c r="B24" s="525"/>
      <c r="C24" s="4" t="str">
        <f>template_label_gross_scope_2_market_based_ghg_emissions &amp; " - " &amp; template_label_may_not_headline</f>
        <v>Emissioni lorde di gas a effetto serra di ambito 2 basate sul mercato - Facoltà (facoltativo)</v>
      </c>
      <c r="D24" s="550"/>
      <c r="E24" s="550"/>
      <c r="F24" s="551"/>
      <c r="G24" s="616"/>
      <c r="H24" s="629"/>
      <c r="I24" s="629"/>
      <c r="J24" s="260"/>
      <c r="K24" s="109" t="str">
        <f t="shared" si="0"/>
        <v>-</v>
      </c>
      <c r="L24" s="16" t="str">
        <f>IF(D24&lt;&gt;"",
    IF(AND(G24="", J24=""), template_label_ok,
       IF(AND(G24&lt;&gt;"", J24=""), template_label_missing_value, template_label_ok)
    ),
"")</f>
        <v/>
      </c>
    </row>
    <row r="25" spans="1:21" x14ac:dyDescent="0.3">
      <c r="A25" s="524"/>
      <c r="B25" s="525"/>
      <c r="C25" s="13" t="str">
        <f>template_label_total_scope_1_and_scope_2_ghg_emissions_location_based</f>
        <v>Emissioni totali di gas a effetto serra di ambito 1 e ambito 2 (basate sulla posizione)</v>
      </c>
      <c r="D25" s="554">
        <f>IF(AND(D22="",D23=""),"-",SUM(D22,D23))</f>
        <v>150</v>
      </c>
      <c r="E25" s="554"/>
      <c r="F25" s="555"/>
      <c r="G25" s="745">
        <f>IF(AND(G22="",G23=""),"-",SUM(G22,G23))</f>
        <v>225</v>
      </c>
      <c r="H25" s="554"/>
      <c r="I25" s="554"/>
      <c r="J25" s="263">
        <f>IF(AND(J22="",J23=""),"-",SUM(J22,J23))</f>
        <v>125</v>
      </c>
      <c r="K25" s="109">
        <f t="shared" si="0"/>
        <v>-0.44444444444444442</v>
      </c>
    </row>
    <row r="26" spans="1:21" ht="15" thickBot="1" x14ac:dyDescent="0.35">
      <c r="A26" s="524"/>
      <c r="B26" s="525"/>
      <c r="C26" s="5" t="str">
        <f>template_label_total_scope_1_and_scope_2_ghg_emissions_market_based &amp; " - " &amp; template_label_may_not_headline</f>
        <v>Emissioni totali di gas a effetto serra di ambito 1 e ambito 2 (basate sul mercato) - Facoltà (facoltativo)</v>
      </c>
      <c r="D26" s="556" t="str">
        <f>IF(OR(D22="",D24=""),"-",SUM(D22,D24))</f>
        <v>-</v>
      </c>
      <c r="E26" s="557"/>
      <c r="F26" s="558"/>
      <c r="G26" s="557" t="str">
        <f>IF(OR(G22="",G24=""),"-",SUM(G22,G24))</f>
        <v>-</v>
      </c>
      <c r="H26" s="557"/>
      <c r="I26" s="701"/>
      <c r="J26" s="264" t="str">
        <f>IF(OR(J22="",J24=""),"-",SUM(J22,J24))</f>
        <v>-</v>
      </c>
      <c r="K26" s="109" t="str">
        <f t="shared" si="0"/>
        <v>-</v>
      </c>
    </row>
    <row r="27" spans="1:21" x14ac:dyDescent="0.3">
      <c r="C27" s="719" t="s">
        <v>3747</v>
      </c>
      <c r="D27" s="630"/>
      <c r="E27" s="630"/>
      <c r="F27" s="630"/>
      <c r="G27" s="630">
        <v>54</v>
      </c>
      <c r="H27" s="630"/>
      <c r="I27" s="630"/>
      <c r="J27" s="630"/>
      <c r="K27" s="110"/>
    </row>
    <row r="28" spans="1:21" ht="15" thickBot="1" x14ac:dyDescent="0.35">
      <c r="C28" s="252" t="s">
        <v>1</v>
      </c>
      <c r="D28" s="552" t="s">
        <v>5646</v>
      </c>
      <c r="E28" s="552"/>
      <c r="F28" s="552"/>
      <c r="G28" s="634" t="s">
        <v>1</v>
      </c>
      <c r="H28" s="634"/>
      <c r="I28" s="634"/>
      <c r="J28" s="253" t="s">
        <v>1</v>
      </c>
      <c r="K28" s="111"/>
    </row>
    <row r="29" spans="1:21" ht="22.2" customHeight="1" x14ac:dyDescent="0.3">
      <c r="C29" s="646" t="str">
        <f>template_label_is_the_undertaking_disclosing_entity_specific_information_on_scope_3_emissions</f>
        <v>L'impresa comunica informazioni specifiche per soggetto sulle emissioni di ambito 3 (in tCO2e)?</v>
      </c>
      <c r="D29" s="647"/>
      <c r="E29" s="647"/>
      <c r="F29" s="648"/>
      <c r="G29" s="631" t="b">
        <v>1</v>
      </c>
      <c r="H29" s="632"/>
      <c r="I29" s="632"/>
      <c r="J29" s="632"/>
      <c r="K29" s="633"/>
    </row>
    <row r="30" spans="1:21" ht="14.55" customHeight="1" x14ac:dyDescent="0.3">
      <c r="C30" s="101" t="str">
        <f>template_label_1_purchased_goods_and_services</f>
        <v>1. Beni e servizi acquistati</v>
      </c>
      <c r="D30" s="547">
        <v>200</v>
      </c>
      <c r="E30" s="548"/>
      <c r="F30" s="549"/>
      <c r="G30" s="543">
        <v>300</v>
      </c>
      <c r="H30" s="509"/>
      <c r="I30" s="509"/>
      <c r="J30" s="265">
        <v>100</v>
      </c>
      <c r="K30" s="292">
        <f>IF(OR(G30="", J30=""), "-", IFERROR(-(1 - (J30 / G30)), "-"))</f>
        <v>-0.66666666666666674</v>
      </c>
      <c r="L30" s="544" t="str" cm="1">
        <f t="array" ref="L30">IF(
   OR(
      SUMPRODUCT((G30:G44&lt;&gt;"")*(J30:J44="")) &gt; 0,
      SUMPRODUCT((J30:J44&lt;&gt;"")*(G30:G44="")) &gt; 0
   ),
   template_label_missing_value,
   IF(
      AND(G29=TRUE, COUNTA(D30:F44)=0),
      template_label_missing_value,
      IF(G29=FALSE, "", template_label_ok)
   )
)</f>
        <v>OK</v>
      </c>
      <c r="M30" s="526" t="str">
        <f>template_label_scope_3_categories_warning</f>
        <v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v>
      </c>
      <c r="N30" s="526"/>
      <c r="O30" s="526"/>
      <c r="P30" s="526"/>
      <c r="Q30" s="526"/>
      <c r="R30" s="526"/>
      <c r="S30" s="526"/>
      <c r="T30" s="526"/>
      <c r="U30" s="526"/>
    </row>
    <row r="31" spans="1:21" x14ac:dyDescent="0.3">
      <c r="C31" s="101" t="str">
        <f>template_label_2_capital_goods</f>
        <v>2. Beni strumentali</v>
      </c>
      <c r="D31" s="547"/>
      <c r="E31" s="548"/>
      <c r="F31" s="549"/>
      <c r="G31" s="543"/>
      <c r="H31" s="509"/>
      <c r="I31" s="509"/>
      <c r="J31" s="265"/>
      <c r="K31" s="292" t="str">
        <f t="shared" ref="K31:K44" si="1">IF(OR(G31="", J31=""), "-", IFERROR(-(1 - (J31 / G31)), "-"))</f>
        <v>-</v>
      </c>
      <c r="L31" s="544"/>
      <c r="M31" s="526"/>
      <c r="N31" s="526"/>
      <c r="O31" s="526"/>
      <c r="P31" s="526"/>
      <c r="Q31" s="526"/>
      <c r="R31" s="526"/>
      <c r="S31" s="526"/>
      <c r="T31" s="526"/>
      <c r="U31" s="526"/>
    </row>
    <row r="32" spans="1:21" x14ac:dyDescent="0.3">
      <c r="C32" s="101" t="str">
        <f>template_label_3_fuel__and_energy_related_activities</f>
        <v>3. Attività legate ai combustibili e all'energia (non incluse nell'ambito 1 o ambito 2)</v>
      </c>
      <c r="D32" s="547"/>
      <c r="E32" s="548"/>
      <c r="F32" s="549"/>
      <c r="G32" s="543"/>
      <c r="H32" s="509"/>
      <c r="I32" s="509"/>
      <c r="J32" s="265"/>
      <c r="K32" s="292" t="str">
        <f t="shared" si="1"/>
        <v>-</v>
      </c>
      <c r="L32" s="544"/>
      <c r="M32" s="526"/>
      <c r="N32" s="526"/>
      <c r="O32" s="526"/>
      <c r="P32" s="526"/>
      <c r="Q32" s="526"/>
      <c r="R32" s="526"/>
      <c r="S32" s="526"/>
      <c r="T32" s="526"/>
      <c r="U32" s="526"/>
    </row>
    <row r="33" spans="3:21" x14ac:dyDescent="0.3">
      <c r="C33" s="101" t="str">
        <f>template_label_4_upstream_transportation_and_distribution</f>
        <v>4. Trasporto e distribuzione a monte</v>
      </c>
      <c r="D33" s="547"/>
      <c r="E33" s="548"/>
      <c r="F33" s="549"/>
      <c r="G33" s="543"/>
      <c r="H33" s="509"/>
      <c r="I33" s="509"/>
      <c r="J33" s="265"/>
      <c r="K33" s="292" t="str">
        <f t="shared" si="1"/>
        <v>-</v>
      </c>
      <c r="L33" s="544"/>
      <c r="M33" s="526"/>
      <c r="N33" s="526"/>
      <c r="O33" s="526"/>
      <c r="P33" s="526"/>
      <c r="Q33" s="526"/>
      <c r="R33" s="526"/>
      <c r="S33" s="526"/>
      <c r="T33" s="526"/>
      <c r="U33" s="526"/>
    </row>
    <row r="34" spans="3:21" x14ac:dyDescent="0.3">
      <c r="C34" s="101" t="str">
        <f>template_label_5_waste_generated_in_operations</f>
        <v>5. Rifiuti generati nel corso delle operazioni</v>
      </c>
      <c r="D34" s="547"/>
      <c r="E34" s="548"/>
      <c r="F34" s="549"/>
      <c r="G34" s="543"/>
      <c r="H34" s="509"/>
      <c r="I34" s="509"/>
      <c r="J34" s="265"/>
      <c r="K34" s="292" t="str">
        <f t="shared" si="1"/>
        <v>-</v>
      </c>
      <c r="L34" s="544"/>
      <c r="M34" s="526"/>
      <c r="N34" s="526"/>
      <c r="O34" s="526"/>
      <c r="P34" s="526"/>
      <c r="Q34" s="526"/>
      <c r="R34" s="526"/>
      <c r="S34" s="526"/>
      <c r="T34" s="526"/>
      <c r="U34" s="526"/>
    </row>
    <row r="35" spans="3:21" x14ac:dyDescent="0.3">
      <c r="C35" s="101" t="str">
        <f>template_label_6_business_travel</f>
        <v>6. Viaggi d'affari</v>
      </c>
      <c r="D35" s="547"/>
      <c r="E35" s="548"/>
      <c r="F35" s="549"/>
      <c r="G35" s="543"/>
      <c r="H35" s="509"/>
      <c r="I35" s="509"/>
      <c r="J35" s="265"/>
      <c r="K35" s="292" t="str">
        <f t="shared" si="1"/>
        <v>-</v>
      </c>
      <c r="L35" s="544"/>
      <c r="M35" s="526"/>
      <c r="N35" s="526"/>
      <c r="O35" s="526"/>
      <c r="P35" s="526"/>
      <c r="Q35" s="526"/>
      <c r="R35" s="526"/>
      <c r="S35" s="526"/>
      <c r="T35" s="526"/>
      <c r="U35" s="526"/>
    </row>
    <row r="36" spans="3:21" x14ac:dyDescent="0.3">
      <c r="C36" s="101" t="str">
        <f>template_label_7_employee_commuting</f>
        <v>7. Pendolarismo dei dipendenti</v>
      </c>
      <c r="D36" s="547"/>
      <c r="E36" s="548"/>
      <c r="F36" s="549"/>
      <c r="G36" s="543"/>
      <c r="H36" s="509"/>
      <c r="I36" s="509"/>
      <c r="J36" s="265"/>
      <c r="K36" s="292" t="str">
        <f t="shared" si="1"/>
        <v>-</v>
      </c>
      <c r="L36" s="544"/>
      <c r="M36" s="526"/>
      <c r="N36" s="526"/>
      <c r="O36" s="526"/>
      <c r="P36" s="526"/>
      <c r="Q36" s="526"/>
      <c r="R36" s="526"/>
      <c r="S36" s="526"/>
      <c r="T36" s="526"/>
      <c r="U36" s="526"/>
    </row>
    <row r="37" spans="3:21" x14ac:dyDescent="0.3">
      <c r="C37" s="101" t="str">
        <f>template_label_8_upstream_leased_assets</f>
        <v>8. Attivi in leasing a monte</v>
      </c>
      <c r="D37" s="547"/>
      <c r="E37" s="548"/>
      <c r="F37" s="549"/>
      <c r="G37" s="543"/>
      <c r="H37" s="509"/>
      <c r="I37" s="509"/>
      <c r="J37" s="265"/>
      <c r="K37" s="292" t="str">
        <f t="shared" si="1"/>
        <v>-</v>
      </c>
      <c r="L37" s="544"/>
      <c r="M37" s="526"/>
      <c r="N37" s="526"/>
      <c r="O37" s="526"/>
      <c r="P37" s="526"/>
      <c r="Q37" s="526"/>
      <c r="R37" s="526"/>
      <c r="S37" s="526"/>
      <c r="T37" s="526"/>
      <c r="U37" s="526"/>
    </row>
    <row r="38" spans="3:21" x14ac:dyDescent="0.3">
      <c r="C38" s="101" t="str">
        <f>template_label_9_downstream_transportation_and_distribution</f>
        <v>9. Trasporto a valle</v>
      </c>
      <c r="D38" s="547">
        <v>500</v>
      </c>
      <c r="E38" s="548"/>
      <c r="F38" s="549"/>
      <c r="G38" s="543">
        <v>400</v>
      </c>
      <c r="H38" s="509"/>
      <c r="I38" s="509"/>
      <c r="J38" s="265">
        <v>200</v>
      </c>
      <c r="K38" s="292">
        <f t="shared" si="1"/>
        <v>-0.5</v>
      </c>
      <c r="L38" s="544"/>
      <c r="M38" s="526"/>
      <c r="N38" s="526"/>
      <c r="O38" s="526"/>
      <c r="P38" s="526"/>
      <c r="Q38" s="526"/>
      <c r="R38" s="526"/>
      <c r="S38" s="526"/>
      <c r="T38" s="526"/>
      <c r="U38" s="526"/>
    </row>
    <row r="39" spans="3:21" x14ac:dyDescent="0.3">
      <c r="C39" s="101" t="str">
        <f>template_label_10_processing_of_sold_products</f>
        <v>10. Trasformazione dei prodotti venduti</v>
      </c>
      <c r="D39" s="547"/>
      <c r="E39" s="548"/>
      <c r="F39" s="549"/>
      <c r="G39" s="543"/>
      <c r="H39" s="509"/>
      <c r="I39" s="509"/>
      <c r="J39" s="265"/>
      <c r="K39" s="292" t="str">
        <f t="shared" si="1"/>
        <v>-</v>
      </c>
      <c r="L39" s="544"/>
      <c r="M39" s="526"/>
      <c r="N39" s="526"/>
      <c r="O39" s="526"/>
      <c r="P39" s="526"/>
      <c r="Q39" s="526"/>
      <c r="R39" s="526"/>
      <c r="S39" s="526"/>
      <c r="T39" s="526"/>
      <c r="U39" s="526"/>
    </row>
    <row r="40" spans="3:21" x14ac:dyDescent="0.3">
      <c r="C40" s="101" t="str">
        <f>template_label_11_use_of_sold_products</f>
        <v>11. Uso dei prodotti venduti</v>
      </c>
      <c r="D40" s="547"/>
      <c r="E40" s="548"/>
      <c r="F40" s="549"/>
      <c r="G40" s="543"/>
      <c r="H40" s="509"/>
      <c r="I40" s="509"/>
      <c r="J40" s="265"/>
      <c r="K40" s="292" t="str">
        <f t="shared" si="1"/>
        <v>-</v>
      </c>
      <c r="L40" s="544"/>
      <c r="M40" s="526"/>
      <c r="N40" s="526"/>
      <c r="O40" s="526"/>
      <c r="P40" s="526"/>
      <c r="Q40" s="526"/>
      <c r="R40" s="526"/>
      <c r="S40" s="526"/>
      <c r="T40" s="526"/>
      <c r="U40" s="526"/>
    </row>
    <row r="41" spans="3:21" x14ac:dyDescent="0.3">
      <c r="C41" s="101" t="str">
        <f>template_label_12_end_of_life_treatment_of_sold_products</f>
        <v>12. Trattamento di fine vita dei prodotti venduti</v>
      </c>
      <c r="D41" s="547"/>
      <c r="E41" s="548"/>
      <c r="F41" s="549"/>
      <c r="G41" s="543"/>
      <c r="H41" s="509"/>
      <c r="I41" s="509"/>
      <c r="J41" s="265"/>
      <c r="K41" s="292" t="str">
        <f t="shared" si="1"/>
        <v>-</v>
      </c>
      <c r="L41" s="544"/>
      <c r="M41" s="526"/>
      <c r="N41" s="526"/>
      <c r="O41" s="526"/>
      <c r="P41" s="526"/>
      <c r="Q41" s="526"/>
      <c r="R41" s="526"/>
      <c r="S41" s="526"/>
      <c r="T41" s="526"/>
      <c r="U41" s="526"/>
    </row>
    <row r="42" spans="3:21" x14ac:dyDescent="0.3">
      <c r="C42" s="101" t="str">
        <f>template_label_13_downstream_leased_assets</f>
        <v>13. Attivi in leasing a valle</v>
      </c>
      <c r="D42" s="547"/>
      <c r="E42" s="548"/>
      <c r="F42" s="549"/>
      <c r="G42" s="543"/>
      <c r="H42" s="509"/>
      <c r="I42" s="509"/>
      <c r="J42" s="265"/>
      <c r="K42" s="292" t="str">
        <f t="shared" si="1"/>
        <v>-</v>
      </c>
      <c r="L42" s="544"/>
      <c r="M42" s="526"/>
      <c r="N42" s="526"/>
      <c r="O42" s="526"/>
      <c r="P42" s="526"/>
      <c r="Q42" s="526"/>
      <c r="R42" s="526"/>
      <c r="S42" s="526"/>
      <c r="T42" s="526"/>
      <c r="U42" s="526"/>
    </row>
    <row r="43" spans="3:21" x14ac:dyDescent="0.3">
      <c r="C43" s="101" t="str">
        <f>template_label_14_franchises</f>
        <v>14. Franchising</v>
      </c>
      <c r="D43" s="547"/>
      <c r="E43" s="548"/>
      <c r="F43" s="549"/>
      <c r="G43" s="543"/>
      <c r="H43" s="509"/>
      <c r="I43" s="509"/>
      <c r="J43" s="265"/>
      <c r="K43" s="292" t="str">
        <f t="shared" si="1"/>
        <v>-</v>
      </c>
      <c r="L43" s="544"/>
      <c r="M43" s="526"/>
      <c r="N43" s="526"/>
      <c r="O43" s="526"/>
      <c r="P43" s="526"/>
      <c r="Q43" s="526"/>
      <c r="R43" s="526"/>
      <c r="S43" s="526"/>
      <c r="T43" s="526"/>
      <c r="U43" s="526"/>
    </row>
    <row r="44" spans="3:21" x14ac:dyDescent="0.3">
      <c r="C44" s="101" t="str">
        <f>template_label_15_investments</f>
        <v>15. Investimenti</v>
      </c>
      <c r="D44" s="547"/>
      <c r="E44" s="548"/>
      <c r="F44" s="549"/>
      <c r="G44" s="543"/>
      <c r="H44" s="509"/>
      <c r="I44" s="509"/>
      <c r="J44" s="265"/>
      <c r="K44" s="292" t="str">
        <f t="shared" si="1"/>
        <v>-</v>
      </c>
      <c r="L44" s="544"/>
      <c r="M44" s="526"/>
      <c r="N44" s="526"/>
      <c r="O44" s="526"/>
      <c r="P44" s="526"/>
      <c r="Q44" s="526"/>
      <c r="R44" s="526"/>
      <c r="S44" s="526"/>
      <c r="T44" s="526"/>
      <c r="U44" s="526"/>
    </row>
    <row r="45" spans="3:21" ht="15" thickBot="1" x14ac:dyDescent="0.35">
      <c r="C45" s="112" t="str">
        <f>template_label_total_scope_3_ghg_emissions</f>
        <v>Emissioni totali di gas a effetto serra di ambito 3</v>
      </c>
      <c r="D45" s="546">
        <f>IF(AND(G29=FALSE, COUNTA(D30:F44)=0), "-", IF(G29=TRUE, IF(SUM(D30:F44)=0, "-", SUM(D30:F44)), "-"))</f>
        <v>700</v>
      </c>
      <c r="E45" s="546"/>
      <c r="F45" s="553"/>
      <c r="G45" s="545">
        <f>IF(AND(G29=FALSE, COUNTA(G30:I44)=0), "-", IF(G29=TRUE, IF(SUM(G30:I44)=0, "-", SUM(G30:I44)), "-"))</f>
        <v>700</v>
      </c>
      <c r="H45" s="546"/>
      <c r="I45" s="546"/>
      <c r="J45" s="266">
        <f>IF(AND(G29=FALSE, COUNTA(J30:J44)=0), "-", IF(G29=TRUE, IF(SUM(J30:J44)=0, "-", SUM(J30:J44)), "-"))</f>
        <v>300</v>
      </c>
      <c r="K45" s="229">
        <f t="shared" ref="K45:K47" si="2">IF(AND(G45="", J45=""), "-", IFERROR(-(1 - (J45 / G45)), "-"))</f>
        <v>-0.5714285714285714</v>
      </c>
      <c r="L45" s="16"/>
      <c r="M45" s="526"/>
      <c r="N45" s="526"/>
      <c r="O45" s="526"/>
      <c r="P45" s="526"/>
      <c r="Q45" s="526"/>
      <c r="R45" s="526"/>
      <c r="S45" s="526"/>
      <c r="T45" s="526"/>
      <c r="U45" s="526"/>
    </row>
    <row r="46" spans="3:21" x14ac:dyDescent="0.3">
      <c r="C46" s="13" t="str">
        <f>template_label_total_scope_1_scope_2_and_scope_3_ghg_emissions_location_based</f>
        <v>Emissioni totali di gas a effetto serra di ambito 1, ambito 2 e ambito 3 (basate sulla posizione)</v>
      </c>
      <c r="D46" s="554">
        <f>IF(G29=FALSE, "-", IF(AND(D22="", D23="", D45=""), "-", IF(SUM(D22, D23, D45)=0, "-", SUM(D22, D23, D45))))</f>
        <v>850</v>
      </c>
      <c r="E46" s="554"/>
      <c r="F46" s="555"/>
      <c r="G46" s="699">
        <f>IF(G29=FALSE, "-", IF(AND(G22="", G23="", G45=""), "-", IF(SUM(G22, G23, G45)=0, "-", SUM(G22, G23, G45))))</f>
        <v>925</v>
      </c>
      <c r="H46" s="554"/>
      <c r="I46" s="554"/>
      <c r="J46" s="262">
        <f>IF(G29=FALSE, "-", IF(AND(J22="", J23="", J45=""), "-", IF(SUM(J22, J23, J45)=0, "-", SUM(J22, J23, J45))))</f>
        <v>425</v>
      </c>
      <c r="K46" s="230">
        <f t="shared" si="2"/>
        <v>-0.54054054054054057</v>
      </c>
      <c r="M46" s="455"/>
      <c r="N46" s="455"/>
      <c r="O46" s="455"/>
      <c r="P46" s="455"/>
      <c r="Q46" s="455"/>
      <c r="R46" s="455"/>
      <c r="S46" s="455"/>
      <c r="T46" s="455"/>
    </row>
    <row r="47" spans="3:21" ht="29.4" thickBot="1" x14ac:dyDescent="0.35">
      <c r="C47" s="113" t="str">
        <f>template_label_total_scope_1_scope_2_and_scope_3_ghg_emissions_market_based &amp; " - " &amp; template_label_may_not_headline</f>
        <v>Emissioni totali di gas a effetto serra di ambito 1, ambito 2 e ambito 3 (basate sul mercato) - Facoltà (facoltativo)</v>
      </c>
      <c r="D47" s="556" t="str">
        <f>IF(G29=FALSE,"-",IF(OR(D22="",D24="",D45=""),"-",SUM(D22,D24,D45)))</f>
        <v>-</v>
      </c>
      <c r="E47" s="557"/>
      <c r="F47" s="558"/>
      <c r="G47" s="700" t="str">
        <f>IF(G29=FALSE, "-", IF(OR(G22="", G24="", G45=""), "-", IF(SUM(G22, G24, G45)=0, "-", SUM(G22, G24, G45))))</f>
        <v>-</v>
      </c>
      <c r="H47" s="557"/>
      <c r="I47" s="701"/>
      <c r="J47" s="264" t="str">
        <f>IF(G29=FALSE, "-", IF(OR(J22="", J24="", J45=""), "-", IF(SUM(J22, J24, J45)=0, "-", SUM(J22, J24, J45))))</f>
        <v>-</v>
      </c>
      <c r="K47" s="229" t="str">
        <f t="shared" si="2"/>
        <v>-</v>
      </c>
      <c r="M47" s="455"/>
      <c r="N47" s="455"/>
      <c r="O47" s="455"/>
      <c r="P47" s="455"/>
      <c r="Q47" s="455"/>
      <c r="R47" s="455"/>
      <c r="S47" s="455"/>
      <c r="T47" s="455"/>
    </row>
    <row r="48" spans="3:21" ht="15" thickBot="1" x14ac:dyDescent="0.35">
      <c r="C48" s="114"/>
      <c r="D48" s="114"/>
      <c r="E48" s="114"/>
      <c r="F48" s="114"/>
      <c r="G48" s="114"/>
      <c r="H48" s="114"/>
      <c r="I48" s="114"/>
      <c r="J48" s="114"/>
      <c r="K48" s="114"/>
    </row>
    <row r="49" spans="1:12" x14ac:dyDescent="0.3">
      <c r="C49" s="594" t="str">
        <f>template_label_c3_disclosure_of_list_of_main_actions_the_entity_seeks_in_order_to_achieve_its_targets&amp;" "&amp;template_label_from&amp;" "&amp;template_starting_date_display&amp;" "&amp;template_label_to&amp;" "&amp;template_ending_date_display&amp;" "&amp;template_label_if_applicable</f>
        <v>C3 - Comunicazione dell'elenco delle principali azioni che l'impresa intende attuare per raggiungere i propri obiettivi da 2024-01-01 a 2024-12-31 [Se applicabile]</v>
      </c>
      <c r="D49" s="594"/>
      <c r="E49" s="594"/>
      <c r="F49" s="594"/>
      <c r="G49" s="594"/>
      <c r="H49" s="594"/>
      <c r="I49" s="594"/>
      <c r="J49" s="594"/>
      <c r="K49" s="754"/>
      <c r="L49" s="8"/>
    </row>
    <row r="50" spans="1:12" x14ac:dyDescent="0.3">
      <c r="C50" s="585" t="s">
        <v>3748</v>
      </c>
      <c r="D50" s="585"/>
      <c r="E50" s="585"/>
      <c r="F50" s="585"/>
      <c r="G50" s="585"/>
      <c r="H50" s="585"/>
      <c r="I50" s="585"/>
      <c r="J50" s="585"/>
      <c r="K50" s="753"/>
    </row>
    <row r="51" spans="1:12" x14ac:dyDescent="0.3">
      <c r="C51" s="582">
        <v>159</v>
      </c>
      <c r="D51" s="582"/>
      <c r="E51" s="582"/>
      <c r="F51" s="582"/>
      <c r="G51" s="582"/>
      <c r="H51" s="582"/>
      <c r="I51" s="582"/>
      <c r="J51" s="582"/>
      <c r="K51" s="582"/>
      <c r="L51" s="8"/>
    </row>
    <row r="52" spans="1:12" ht="15" thickBot="1" x14ac:dyDescent="0.35">
      <c r="C52" s="751" t="s">
        <v>9553</v>
      </c>
      <c r="D52" s="751"/>
      <c r="E52" s="751"/>
      <c r="F52" s="751"/>
      <c r="G52" s="751"/>
      <c r="H52" s="751"/>
      <c r="I52" s="751"/>
      <c r="J52" s="751"/>
      <c r="K52" s="752"/>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594" t="str">
        <f>template_label_c3_transition_plan_for_undertakings_operating_in_high_climate_impact_sectors&amp;" "&amp;template_label_from&amp;" "&amp;template_starting_date_display&amp;" "&amp;template_label_to&amp;" "&amp;template_ending_date_display&amp;" "&amp; template_label_if_applicable</f>
        <v>C3 - Piano di transizione per le imprese che operano in settori ad alto impatto climatico da 2024-01-01 a 2024-12-31 [Se applicabile]</v>
      </c>
      <c r="D55" s="594"/>
      <c r="E55" s="594"/>
      <c r="F55" s="594"/>
      <c r="G55" s="594"/>
      <c r="H55" s="594"/>
      <c r="I55" s="594"/>
      <c r="J55" s="594"/>
      <c r="K55" s="595"/>
    </row>
    <row r="56" spans="1:12" ht="38.4" customHeight="1" x14ac:dyDescent="0.3">
      <c r="A56" s="441">
        <v>55</v>
      </c>
      <c r="B56" s="444" t="s">
        <v>5647</v>
      </c>
      <c r="C56" s="101" t="str">
        <f>template_label_is_the_undertaking_operating_in_high_impact_sectors</f>
        <v>L'impresa opera in settori ad alto impatto?</v>
      </c>
      <c r="D56" s="707"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708"/>
      <c r="F56" s="708"/>
      <c r="G56" s="708"/>
      <c r="H56" s="708"/>
      <c r="I56" s="708"/>
      <c r="J56" s="708"/>
      <c r="K56" s="709"/>
      <c r="L56" s="16"/>
    </row>
    <row r="57" spans="1:12" x14ac:dyDescent="0.3">
      <c r="A57" s="441">
        <v>55</v>
      </c>
      <c r="B57" s="444" t="s">
        <v>5647</v>
      </c>
      <c r="C57" s="101" t="str">
        <f>template_label_status_of_implementation_of_a_transition_plan_in_relation_to_climate_change_mitigation</f>
        <v>Stato di attuazione di un piano di transizione per la mitigazione dei cambiamenti climatici</v>
      </c>
      <c r="D57" s="746"/>
      <c r="E57" s="747"/>
      <c r="F57" s="747"/>
      <c r="G57" s="747"/>
      <c r="H57" s="747"/>
      <c r="I57" s="747"/>
      <c r="J57" s="747"/>
      <c r="K57" s="748"/>
      <c r="L57" s="16" t="str">
        <f>IF(AND(OR(D57="A transition plan has already been adopted", D57="Adoption of a transition plan is planned in the future"), D56=TRUE),
    template_label_ok,
    IF(AND(BasisForPreparation="Option B (Basic Module and Comprehensive Module)", D57="", D56=TRUE),
       template_label_missing_value,
       ""
    )
)</f>
        <v xml:space="preserve">VALORE MANCANTE
</v>
      </c>
    </row>
    <row r="58" spans="1:12" ht="43.2" x14ac:dyDescent="0.3">
      <c r="A58" s="441">
        <v>55</v>
      </c>
      <c r="B58" s="444" t="s">
        <v>5647</v>
      </c>
      <c r="C58" s="115" t="str">
        <f>template_label_description_of_a_transition_plan_for_climate_change_mitigation &amp; " - " &amp; template_label_may_not_headline</f>
        <v>Descrizione di un piano di transizione per la mitigazione dei cambiamenti climatici, comprensa una spiegazione del modo in cui il piano sta contribuendo a ridurre le emissioni di gas a effetto serra. - Facoltà (facoltativo)</v>
      </c>
      <c r="D58" s="749"/>
      <c r="E58" s="749"/>
      <c r="F58" s="749"/>
      <c r="G58" s="749"/>
      <c r="H58" s="749"/>
      <c r="I58" s="749"/>
      <c r="J58" s="749"/>
      <c r="K58" s="750"/>
      <c r="L58" s="16" t="str">
        <f>IF(AND(D57="A transition plan has already been adopted", DescriptionOfATransitionPlanForClimateChangeMitigationIncludingAnExplanationOfHowItIsContributingToReduceGhgEmissions&lt;&gt;""), template_label_ok, "")</f>
        <v/>
      </c>
    </row>
    <row r="59" spans="1:12" x14ac:dyDescent="0.3">
      <c r="A59" s="528">
        <v>56</v>
      </c>
      <c r="B59" s="531" t="s">
        <v>5647</v>
      </c>
      <c r="C59" s="534" t="str">
        <f>template_label_date_of_foreseen_adoption_of_transition_plan_for_undertaking_not_having_adopted_transition_plan_yet</f>
        <v>Data prevista per l'adozione del piano di transizione per l'impresa che non ha ancora adottato un piano di transizione</v>
      </c>
      <c r="D59" s="537" t="str">
        <f>template_label_year</f>
        <v>Anno</v>
      </c>
      <c r="E59" s="538"/>
      <c r="F59" s="538"/>
      <c r="G59" s="538"/>
      <c r="H59" s="539"/>
      <c r="I59" s="540">
        <v>2028</v>
      </c>
      <c r="J59" s="541"/>
      <c r="K59" s="542"/>
      <c r="L59" s="527"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529"/>
      <c r="B60" s="532"/>
      <c r="C60" s="535"/>
      <c r="D60" s="537" t="str">
        <f>template_label_month</f>
        <v>Mese</v>
      </c>
      <c r="E60" s="538"/>
      <c r="F60" s="538"/>
      <c r="G60" s="538"/>
      <c r="H60" s="539"/>
      <c r="I60" s="540">
        <v>1</v>
      </c>
      <c r="J60" s="541"/>
      <c r="K60" s="542"/>
      <c r="L60" s="527"/>
    </row>
    <row r="61" spans="1:12" x14ac:dyDescent="0.3">
      <c r="A61" s="529"/>
      <c r="B61" s="532"/>
      <c r="C61" s="535"/>
      <c r="D61" s="537" t="str">
        <f>template_label_day</f>
        <v>Giorno</v>
      </c>
      <c r="E61" s="538"/>
      <c r="F61" s="538"/>
      <c r="G61" s="538"/>
      <c r="H61" s="539"/>
      <c r="I61" s="540">
        <v>1</v>
      </c>
      <c r="J61" s="541"/>
      <c r="K61" s="542"/>
      <c r="L61" s="527"/>
    </row>
    <row r="62" spans="1:12" ht="15" thickBot="1" x14ac:dyDescent="0.35">
      <c r="A62" s="530"/>
      <c r="B62" s="533"/>
      <c r="C62" s="536"/>
      <c r="D62" s="705" t="str">
        <f>IF(OR(ISBLANK(I59), ISBLANK(I60), ISBLANK(I61)), "-", I59 &amp; "-" &amp; TEXT(I60, "00") &amp; "-" &amp; TEXT(I61, "00"))</f>
        <v>2028-01-01</v>
      </c>
      <c r="E62" s="705"/>
      <c r="F62" s="705"/>
      <c r="G62" s="705"/>
      <c r="H62" s="705"/>
      <c r="I62" s="705"/>
      <c r="J62" s="705"/>
      <c r="K62" s="706"/>
      <c r="L62" s="381"/>
    </row>
    <row r="63" spans="1:12" ht="15" thickBot="1" x14ac:dyDescent="0.35"/>
    <row r="64" spans="1:12" ht="14.85" customHeight="1" x14ac:dyDescent="0.3">
      <c r="C64" s="592" t="str">
        <f>template_label_b3_greenhouse_gas_emission_intensity_per_turnover&amp;" "&amp;template_label_from&amp;" "&amp;template_starting_date_display&amp;" "&amp;template_label_to&amp;" "&amp;template_ending_date_display&amp;" "&amp;template_label_always_to_be_reported</f>
        <v>B3 - Intensità delle emissioni di gas a effetto serra per ricavi delle vendite e delle prestazioni (in tCO2e) da 2024-01-01 a 2024-12-31 [Sempre da riportare]</v>
      </c>
      <c r="D64" s="592"/>
      <c r="E64" s="592"/>
      <c r="F64" s="592"/>
      <c r="G64" s="592"/>
      <c r="H64" s="592"/>
      <c r="I64" s="592"/>
      <c r="J64" s="592"/>
      <c r="K64" s="593"/>
    </row>
    <row r="65" spans="3:12" ht="14.85" customHeight="1" x14ac:dyDescent="0.3">
      <c r="C65" s="590">
        <v>31</v>
      </c>
      <c r="D65" s="590"/>
      <c r="E65" s="590"/>
      <c r="F65" s="590"/>
      <c r="G65" s="590"/>
      <c r="H65" s="590"/>
      <c r="I65" s="590"/>
      <c r="J65" s="590"/>
      <c r="K65" s="591"/>
    </row>
    <row r="66" spans="3:12" x14ac:dyDescent="0.3">
      <c r="C66" s="652" t="str">
        <f>template_label_scope_1_and_scope_2_ghg_emissions_intensity_location_based</f>
        <v>Intensità delle emissioni di gas a effetto serra di ambito 1 e ambito 2 (basate sulla posizione)</v>
      </c>
      <c r="D66" s="653"/>
      <c r="E66" s="653"/>
      <c r="F66" s="653"/>
      <c r="G66" s="588" t="str">
        <f>IF(G29=TRUE,
   "-",
   IFERROR(
      IF(OR(D25="", Turnover=""), "-", D25/Turnover),
      "-"
   )
)</f>
        <v>-</v>
      </c>
      <c r="H66" s="588"/>
      <c r="I66" s="588"/>
      <c r="J66" s="588"/>
      <c r="K66" s="589"/>
    </row>
    <row r="67" spans="3:12" x14ac:dyDescent="0.3">
      <c r="C67" s="534" t="str">
        <f>template_label_scope_1_and_scope_2_ghg_emissions_intensity_market_based &amp; " - " &amp; template_label_may_not_headline</f>
        <v>Intensità delle emissioni di gas a effetto serra di ambito 1 e ambito 2 (basate sul mercato) - Facoltà (facoltativo)</v>
      </c>
      <c r="D67" s="702"/>
      <c r="E67" s="702"/>
      <c r="F67" s="702"/>
      <c r="G67" s="703" t="str">
        <f>IF(G29=TRUE,
   "-",
   IFERROR(
      IF(OR(D26="", Turnover=""), "-", D26/Turnover),
      "-"
   )
)</f>
        <v>-</v>
      </c>
      <c r="H67" s="703"/>
      <c r="I67" s="703"/>
      <c r="J67" s="703"/>
      <c r="K67" s="704"/>
    </row>
    <row r="68" spans="3:12" x14ac:dyDescent="0.3">
      <c r="C68" s="652" t="str">
        <f>template_label_total_scope_1_scope_2_and_scope_3_ghg_emissions_intensity_location_based</f>
        <v>Intensità totale delle emissioni di gas a effetto serra di ambito 1, ambito 2 e ambito 3 (basate sulla posizione)</v>
      </c>
      <c r="D68" s="653"/>
      <c r="E68" s="653"/>
      <c r="F68" s="654"/>
      <c r="G68" s="755">
        <f>IF(G29=FALSE,
   "-",
   IFERROR(
      IF(OR(D46="", Turnover=""), "-", D46/Turnover),
      "-"
   )
)</f>
        <v>3.6170212765957448E-3</v>
      </c>
      <c r="H68" s="756"/>
      <c r="I68" s="756"/>
      <c r="J68" s="756"/>
      <c r="K68" s="757"/>
    </row>
    <row r="69" spans="3:12" ht="15" thickBot="1" x14ac:dyDescent="0.35">
      <c r="C69" s="655" t="str">
        <f>template_label_total_scope_1_scope_2_and_scope_3_ghg_emissions_intensity_market_based &amp; " - " &amp; template_label_may_not_headline</f>
        <v>Intensità totale delle emissioni di gas a effetto serra di ambito 1, ambito 2 e ambito 3 (basate sul mercato) - Facoltà (facoltativo)</v>
      </c>
      <c r="D69" s="656"/>
      <c r="E69" s="656"/>
      <c r="F69" s="657"/>
      <c r="G69" s="713" t="str">
        <f>IF(G29=FALSE,
   "-",
   IFERROR(
      IF(OR(D47="", Turnover=""), "-", D47/Turnover),
      "-"
   )
)</f>
        <v>-</v>
      </c>
      <c r="H69" s="714"/>
      <c r="I69" s="714"/>
      <c r="J69" s="714"/>
      <c r="K69" s="715"/>
      <c r="L69" s="8"/>
    </row>
    <row r="70" spans="3:12" ht="15" thickBot="1" x14ac:dyDescent="0.35"/>
    <row r="71" spans="3:12" x14ac:dyDescent="0.3">
      <c r="C71" s="596" t="str">
        <f>template_label_b4_pollution_of_air_water_and_soil&amp;" "&amp;template_label_from&amp;" "&amp;template_starting_date_display&amp;" "&amp;template_label_to&amp;" "&amp;template_ending_date_display&amp;" "&amp;template_label_if_applicable</f>
        <v>B4 – Inquinamento di aria, acqua e suolo da 2024-01-01 a 2024-12-31 [Se applicabile]</v>
      </c>
      <c r="D71" s="597"/>
      <c r="E71" s="597"/>
      <c r="F71" s="597"/>
      <c r="G71" s="597"/>
      <c r="H71" s="597"/>
      <c r="I71" s="597"/>
      <c r="J71" s="597"/>
      <c r="K71" s="598"/>
    </row>
    <row r="72" spans="3:12" x14ac:dyDescent="0.3">
      <c r="C72" s="599">
        <v>32</v>
      </c>
      <c r="D72" s="600"/>
      <c r="E72" s="600"/>
      <c r="F72" s="600"/>
      <c r="G72" s="600"/>
      <c r="H72" s="600"/>
      <c r="I72" s="600"/>
      <c r="J72" s="600"/>
      <c r="K72" s="601"/>
    </row>
    <row r="73" spans="3:12" x14ac:dyDescent="0.3">
      <c r="C73" s="520" t="s">
        <v>5648</v>
      </c>
      <c r="D73" s="521"/>
      <c r="E73" s="521"/>
      <c r="F73" s="521"/>
      <c r="G73" s="521"/>
      <c r="H73" s="521"/>
      <c r="I73" s="521"/>
      <c r="J73" s="521"/>
      <c r="K73" s="522"/>
    </row>
    <row r="74" spans="3:12" ht="30" customHeight="1" x14ac:dyDescent="0.3">
      <c r="C74" s="683" t="str">
        <f>template_label_required_by_law_or_other_national_regulations_to_report_to_competent_authorities_its_emissions_of_pollutants</f>
        <v>L'impresa è già tenuta, in forza di leggi o altre normative nazionali, a comunicare alle autorità competenti le proprie emissioni di inquinanti o riferisce volontariamente al riguardo nel quadro di un sistema di gestione ambientale?</v>
      </c>
      <c r="D74" s="684"/>
      <c r="E74" s="684"/>
      <c r="F74" s="718"/>
      <c r="G74" s="710" t="b">
        <v>1</v>
      </c>
      <c r="H74" s="711"/>
      <c r="I74" s="711"/>
      <c r="J74" s="711"/>
      <c r="K74" s="712"/>
      <c r="L74" s="16"/>
    </row>
    <row r="75" spans="3:12" x14ac:dyDescent="0.3">
      <c r="C75" s="652" t="str">
        <f>template_label_is_this_disclosure_already_publicly_available</f>
        <v>Questa informativa è già disponibile al pubblico?</v>
      </c>
      <c r="D75" s="653"/>
      <c r="E75" s="653"/>
      <c r="F75" s="653"/>
      <c r="G75" s="696" t="b">
        <v>0</v>
      </c>
      <c r="H75" s="696"/>
      <c r="I75" s="696"/>
      <c r="J75" s="696"/>
      <c r="K75" s="697"/>
      <c r="L75" s="16" t="str" cm="1">
        <f t="array" ref="L75">IF(AND(G75=TRUE, D80:K179=""),
    template_label_ok,
    IF(AND(OR(D80:K179&lt;&gt;""), G75=TRUE),
       template_label_value_inconsistency,
       ""
    )
)</f>
        <v/>
      </c>
    </row>
    <row r="76" spans="3:12" x14ac:dyDescent="0.3">
      <c r="C76" s="652" t="str">
        <f>template_label_please_provide_the_relevant_url_link_or_hyperlink_of_where_this_information_is_reported</f>
        <v>Si prega di fornire l'URL pertinente o inserire il collegamento ipertestuale dove queste informazioni figurano.</v>
      </c>
      <c r="D76" s="653"/>
      <c r="E76" s="653"/>
      <c r="F76" s="653"/>
      <c r="G76" s="716"/>
      <c r="H76" s="523"/>
      <c r="I76" s="523"/>
      <c r="J76" s="523"/>
      <c r="K76" s="717"/>
      <c r="L76" s="16" t="str">
        <f>IF(G75=TRUE,
   IF(G76="",
      template_label_missing_value,
      IF(OR(LEFT(G76,7)="http://", LEFT(G76,8)="https://", LEFT(G76,4)="www."),
         template_label_ok,
         template_label_invalid_url
      )
   ),
"")</f>
        <v/>
      </c>
    </row>
    <row r="77" spans="3:12" x14ac:dyDescent="0.3">
      <c r="C77" s="690" t="str">
        <f>template_label_please_select_the_unit_used_for_reporting_the_amount</f>
        <v>Selezionare l'unità utilizzata per la comunicazione della quantità (ad esempio kg o tonnellata)</v>
      </c>
      <c r="D77" s="691"/>
      <c r="E77" s="691"/>
      <c r="F77" s="691"/>
      <c r="G77" s="691"/>
      <c r="H77" s="691"/>
      <c r="I77" s="691"/>
      <c r="J77" s="691"/>
      <c r="K77" s="692"/>
    </row>
    <row r="78" spans="3:12" x14ac:dyDescent="0.3">
      <c r="C78" s="693" t="s">
        <v>2757</v>
      </c>
      <c r="D78" s="694"/>
      <c r="E78" s="694"/>
      <c r="F78" s="694"/>
      <c r="G78" s="694"/>
      <c r="H78" s="694"/>
      <c r="I78" s="694"/>
      <c r="J78" s="694"/>
      <c r="K78" s="695"/>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OK</v>
      </c>
    </row>
    <row r="79" spans="3:12" x14ac:dyDescent="0.3">
      <c r="C79" s="117" t="str">
        <f>template_label_row_id</f>
        <v>ID Riga</v>
      </c>
      <c r="D79" s="626" t="str">
        <f>template_label_pollutant</f>
        <v xml:space="preserve">Inquinante
</v>
      </c>
      <c r="E79" s="626"/>
      <c r="F79" s="626"/>
      <c r="G79" s="626" t="str">
        <f>template_label_emission_to_air</f>
        <v>Emissione nell'aria</v>
      </c>
      <c r="H79" s="626"/>
      <c r="I79" s="626"/>
      <c r="J79" s="6" t="str">
        <f>template_label_emission_to_water</f>
        <v>Emissione nell'acqua</v>
      </c>
      <c r="K79" s="107" t="str">
        <f>template_label_emission_to_soil</f>
        <v>Emissione nel suolo</v>
      </c>
    </row>
    <row r="80" spans="3:12" x14ac:dyDescent="0.3">
      <c r="C80" s="231">
        <v>1</v>
      </c>
      <c r="D80" s="523" t="s">
        <v>2728</v>
      </c>
      <c r="E80" s="523"/>
      <c r="F80" s="523"/>
      <c r="G80" s="547">
        <v>567</v>
      </c>
      <c r="H80" s="548"/>
      <c r="I80" s="570"/>
      <c r="J80" s="265"/>
      <c r="K80" s="267"/>
      <c r="L80" s="16" t="str">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OK</v>
      </c>
    </row>
    <row r="81" spans="3:13" x14ac:dyDescent="0.3">
      <c r="C81" s="231">
        <v>2</v>
      </c>
      <c r="D81" s="523" t="s">
        <v>2725</v>
      </c>
      <c r="E81" s="523"/>
      <c r="F81" s="523"/>
      <c r="G81" s="547"/>
      <c r="H81" s="548"/>
      <c r="I81" s="570"/>
      <c r="J81" s="265"/>
      <c r="K81" s="267">
        <v>67</v>
      </c>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OK</v>
      </c>
    </row>
    <row r="82" spans="3:13" ht="15" thickBot="1" x14ac:dyDescent="0.35">
      <c r="C82" s="233">
        <v>3</v>
      </c>
      <c r="D82" s="575" t="s">
        <v>2719</v>
      </c>
      <c r="E82" s="575"/>
      <c r="F82" s="575"/>
      <c r="G82" s="571"/>
      <c r="H82" s="572"/>
      <c r="I82" s="573"/>
      <c r="J82" s="268">
        <v>567</v>
      </c>
      <c r="K82" s="269"/>
      <c r="L82" s="16" t="str">
        <f t="shared" si="3"/>
        <v>OK</v>
      </c>
      <c r="M82"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83" spans="3:13" hidden="1" outlineLevel="1" x14ac:dyDescent="0.3">
      <c r="C83" s="232">
        <v>4</v>
      </c>
      <c r="D83" s="698"/>
      <c r="E83" s="698"/>
      <c r="F83" s="698"/>
      <c r="G83" s="574"/>
      <c r="H83" s="574"/>
      <c r="I83" s="574"/>
      <c r="J83" s="270"/>
      <c r="K83" s="271"/>
      <c r="L83" s="16" t="str">
        <f t="shared" si="3"/>
        <v/>
      </c>
    </row>
    <row r="84" spans="3:13" hidden="1" outlineLevel="1" x14ac:dyDescent="0.3">
      <c r="C84" s="231">
        <v>5</v>
      </c>
      <c r="D84" s="523"/>
      <c r="E84" s="523"/>
      <c r="F84" s="523"/>
      <c r="G84" s="509"/>
      <c r="H84" s="509"/>
      <c r="I84" s="509"/>
      <c r="J84" s="265"/>
      <c r="K84" s="267"/>
      <c r="L84" s="16" t="str">
        <f t="shared" si="3"/>
        <v/>
      </c>
    </row>
    <row r="85" spans="3:13" hidden="1" outlineLevel="1" x14ac:dyDescent="0.3">
      <c r="C85" s="231">
        <v>6</v>
      </c>
      <c r="D85" s="523"/>
      <c r="E85" s="523"/>
      <c r="F85" s="523"/>
      <c r="G85" s="509"/>
      <c r="H85" s="509"/>
      <c r="I85" s="509"/>
      <c r="J85" s="265"/>
      <c r="K85" s="267"/>
      <c r="L85" s="16" t="str">
        <f t="shared" si="3"/>
        <v/>
      </c>
    </row>
    <row r="86" spans="3:13" hidden="1" outlineLevel="1" x14ac:dyDescent="0.3">
      <c r="C86" s="231">
        <v>7</v>
      </c>
      <c r="D86" s="523"/>
      <c r="E86" s="523"/>
      <c r="F86" s="523"/>
      <c r="G86" s="509"/>
      <c r="H86" s="509"/>
      <c r="I86" s="509"/>
      <c r="J86" s="265"/>
      <c r="K86" s="267"/>
      <c r="L86" s="16" t="str">
        <f t="shared" si="3"/>
        <v/>
      </c>
    </row>
    <row r="87" spans="3:13" hidden="1" outlineLevel="1" x14ac:dyDescent="0.3">
      <c r="C87" s="231">
        <v>8</v>
      </c>
      <c r="D87" s="523"/>
      <c r="E87" s="523"/>
      <c r="F87" s="523"/>
      <c r="G87" s="509"/>
      <c r="H87" s="509"/>
      <c r="I87" s="509"/>
      <c r="J87" s="265"/>
      <c r="K87" s="267"/>
      <c r="L87" s="16" t="str">
        <f t="shared" si="3"/>
        <v/>
      </c>
    </row>
    <row r="88" spans="3:13" hidden="1" outlineLevel="1" x14ac:dyDescent="0.3">
      <c r="C88" s="231">
        <v>9</v>
      </c>
      <c r="D88" s="523"/>
      <c r="E88" s="523"/>
      <c r="F88" s="523"/>
      <c r="G88" s="509"/>
      <c r="H88" s="509"/>
      <c r="I88" s="509"/>
      <c r="J88" s="265"/>
      <c r="K88" s="267"/>
      <c r="L88" s="16" t="str">
        <f t="shared" si="3"/>
        <v/>
      </c>
    </row>
    <row r="89" spans="3:13" hidden="1" outlineLevel="1" x14ac:dyDescent="0.3">
      <c r="C89" s="231">
        <v>10</v>
      </c>
      <c r="D89" s="523"/>
      <c r="E89" s="523"/>
      <c r="F89" s="523"/>
      <c r="G89" s="509"/>
      <c r="H89" s="509"/>
      <c r="I89" s="509"/>
      <c r="J89" s="265"/>
      <c r="K89" s="267"/>
      <c r="L89" s="16" t="str">
        <f t="shared" si="3"/>
        <v/>
      </c>
    </row>
    <row r="90" spans="3:13" hidden="1" outlineLevel="1" x14ac:dyDescent="0.3">
      <c r="C90" s="231">
        <v>11</v>
      </c>
      <c r="D90" s="523"/>
      <c r="E90" s="523"/>
      <c r="F90" s="523"/>
      <c r="G90" s="509"/>
      <c r="H90" s="509"/>
      <c r="I90" s="509"/>
      <c r="J90" s="265"/>
      <c r="K90" s="267"/>
      <c r="L90" s="16" t="str">
        <f t="shared" si="3"/>
        <v/>
      </c>
    </row>
    <row r="91" spans="3:13" hidden="1" outlineLevel="1" x14ac:dyDescent="0.3">
      <c r="C91" s="231">
        <v>12</v>
      </c>
      <c r="D91" s="523"/>
      <c r="E91" s="523"/>
      <c r="F91" s="523"/>
      <c r="G91" s="509"/>
      <c r="H91" s="509"/>
      <c r="I91" s="509"/>
      <c r="J91" s="265"/>
      <c r="K91" s="267"/>
      <c r="L91" s="16" t="str">
        <f t="shared" si="3"/>
        <v/>
      </c>
    </row>
    <row r="92" spans="3:13" hidden="1" outlineLevel="1" x14ac:dyDescent="0.3">
      <c r="C92" s="231">
        <v>13</v>
      </c>
      <c r="D92" s="523"/>
      <c r="E92" s="523"/>
      <c r="F92" s="523"/>
      <c r="G92" s="509"/>
      <c r="H92" s="509"/>
      <c r="I92" s="509"/>
      <c r="J92" s="265"/>
      <c r="K92" s="267"/>
      <c r="L92" s="16" t="str">
        <f t="shared" si="3"/>
        <v/>
      </c>
    </row>
    <row r="93" spans="3:13" hidden="1" outlineLevel="1" x14ac:dyDescent="0.3">
      <c r="C93" s="231">
        <v>14</v>
      </c>
      <c r="D93" s="523"/>
      <c r="E93" s="523"/>
      <c r="F93" s="523"/>
      <c r="G93" s="509"/>
      <c r="H93" s="509"/>
      <c r="I93" s="509"/>
      <c r="J93" s="265"/>
      <c r="K93" s="267"/>
      <c r="L93" s="16" t="str">
        <f t="shared" si="3"/>
        <v/>
      </c>
    </row>
    <row r="94" spans="3:13" hidden="1" outlineLevel="1" x14ac:dyDescent="0.3">
      <c r="C94" s="231">
        <v>15</v>
      </c>
      <c r="D94" s="523"/>
      <c r="E94" s="523"/>
      <c r="F94" s="523"/>
      <c r="G94" s="509"/>
      <c r="H94" s="509"/>
      <c r="I94" s="509"/>
      <c r="J94" s="265"/>
      <c r="K94" s="267"/>
      <c r="L94" s="16" t="str">
        <f t="shared" si="3"/>
        <v/>
      </c>
    </row>
    <row r="95" spans="3:13" hidden="1" outlineLevel="1" x14ac:dyDescent="0.3">
      <c r="C95" s="231">
        <v>16</v>
      </c>
      <c r="D95" s="523"/>
      <c r="E95" s="523"/>
      <c r="F95" s="523"/>
      <c r="G95" s="509"/>
      <c r="H95" s="509"/>
      <c r="I95" s="509"/>
      <c r="J95" s="265"/>
      <c r="K95" s="267"/>
      <c r="L95" s="16" t="str">
        <f t="shared" si="3"/>
        <v/>
      </c>
    </row>
    <row r="96" spans="3:13" hidden="1" outlineLevel="1" x14ac:dyDescent="0.3">
      <c r="C96" s="231">
        <v>17</v>
      </c>
      <c r="D96" s="523"/>
      <c r="E96" s="523"/>
      <c r="F96" s="523"/>
      <c r="G96" s="509"/>
      <c r="H96" s="509"/>
      <c r="I96" s="509"/>
      <c r="J96" s="265"/>
      <c r="K96" s="267"/>
      <c r="L96" s="16" t="str">
        <f t="shared" si="3"/>
        <v/>
      </c>
    </row>
    <row r="97" spans="3:13" hidden="1" outlineLevel="1" x14ac:dyDescent="0.3">
      <c r="C97" s="231">
        <v>18</v>
      </c>
      <c r="D97" s="523"/>
      <c r="E97" s="523"/>
      <c r="F97" s="523"/>
      <c r="G97" s="509"/>
      <c r="H97" s="509"/>
      <c r="I97" s="509"/>
      <c r="J97" s="265"/>
      <c r="K97" s="267"/>
      <c r="L97" s="16" t="str">
        <f t="shared" si="3"/>
        <v/>
      </c>
    </row>
    <row r="98" spans="3:13" hidden="1" outlineLevel="1" x14ac:dyDescent="0.3">
      <c r="C98" s="231">
        <v>19</v>
      </c>
      <c r="D98" s="523"/>
      <c r="E98" s="523"/>
      <c r="F98" s="523"/>
      <c r="G98" s="509"/>
      <c r="H98" s="509"/>
      <c r="I98" s="509"/>
      <c r="J98" s="265"/>
      <c r="K98" s="267"/>
      <c r="L98" s="16" t="str">
        <f t="shared" si="3"/>
        <v/>
      </c>
    </row>
    <row r="99" spans="3:13" hidden="1" outlineLevel="1" x14ac:dyDescent="0.3">
      <c r="C99" s="231">
        <v>20</v>
      </c>
      <c r="D99" s="523"/>
      <c r="E99" s="523"/>
      <c r="F99" s="523"/>
      <c r="G99" s="509"/>
      <c r="H99" s="509"/>
      <c r="I99" s="509"/>
      <c r="J99" s="265"/>
      <c r="K99" s="267"/>
      <c r="L99" s="16" t="str">
        <f t="shared" si="3"/>
        <v/>
      </c>
    </row>
    <row r="100" spans="3:13" hidden="1" outlineLevel="1" x14ac:dyDescent="0.3">
      <c r="C100" s="231">
        <v>21</v>
      </c>
      <c r="D100" s="523"/>
      <c r="E100" s="523"/>
      <c r="F100" s="523"/>
      <c r="G100" s="509"/>
      <c r="H100" s="509"/>
      <c r="I100" s="509"/>
      <c r="J100" s="265"/>
      <c r="K100" s="267"/>
      <c r="L100" s="16" t="str">
        <f t="shared" si="3"/>
        <v/>
      </c>
    </row>
    <row r="101" spans="3:13" hidden="1" outlineLevel="1" x14ac:dyDescent="0.3">
      <c r="C101" s="231">
        <v>22</v>
      </c>
      <c r="D101" s="523"/>
      <c r="E101" s="523"/>
      <c r="F101" s="523"/>
      <c r="G101" s="509"/>
      <c r="H101" s="509"/>
      <c r="I101" s="509"/>
      <c r="J101" s="265"/>
      <c r="K101" s="267"/>
      <c r="L101" s="16" t="str">
        <f t="shared" si="3"/>
        <v/>
      </c>
    </row>
    <row r="102" spans="3:13" hidden="1" outlineLevel="1" x14ac:dyDescent="0.3">
      <c r="C102" s="231">
        <v>23</v>
      </c>
      <c r="D102" s="523"/>
      <c r="E102" s="523"/>
      <c r="F102" s="523"/>
      <c r="G102" s="509"/>
      <c r="H102" s="509"/>
      <c r="I102" s="509"/>
      <c r="J102" s="265"/>
      <c r="K102" s="267"/>
      <c r="L102" s="16" t="str">
        <f t="shared" si="3"/>
        <v/>
      </c>
    </row>
    <row r="103" spans="3:13" hidden="1" outlineLevel="1" x14ac:dyDescent="0.3">
      <c r="C103" s="231">
        <v>24</v>
      </c>
      <c r="D103" s="523"/>
      <c r="E103" s="523"/>
      <c r="F103" s="523"/>
      <c r="G103" s="509"/>
      <c r="H103" s="509"/>
      <c r="I103" s="509"/>
      <c r="J103" s="265"/>
      <c r="K103" s="267"/>
      <c r="L103" s="16" t="str">
        <f t="shared" si="3"/>
        <v/>
      </c>
    </row>
    <row r="104" spans="3:13" hidden="1" outlineLevel="1" x14ac:dyDescent="0.3">
      <c r="C104" s="231">
        <v>25</v>
      </c>
      <c r="D104" s="523"/>
      <c r="E104" s="523"/>
      <c r="F104" s="523"/>
      <c r="G104" s="509"/>
      <c r="H104" s="509"/>
      <c r="I104" s="509"/>
      <c r="J104" s="265"/>
      <c r="K104" s="267"/>
      <c r="L104" s="16" t="str">
        <f t="shared" si="3"/>
        <v/>
      </c>
    </row>
    <row r="105" spans="3:13" hidden="1" outlineLevel="1" x14ac:dyDescent="0.3">
      <c r="C105" s="231">
        <v>26</v>
      </c>
      <c r="D105" s="523"/>
      <c r="E105" s="523"/>
      <c r="F105" s="523"/>
      <c r="G105" s="509"/>
      <c r="H105" s="509"/>
      <c r="I105" s="509"/>
      <c r="J105" s="265"/>
      <c r="K105" s="267"/>
      <c r="L105" s="16" t="str">
        <f t="shared" si="3"/>
        <v/>
      </c>
    </row>
    <row r="106" spans="3:13" hidden="1" outlineLevel="1" x14ac:dyDescent="0.3">
      <c r="C106" s="231">
        <v>27</v>
      </c>
      <c r="D106" s="523"/>
      <c r="E106" s="523"/>
      <c r="F106" s="523"/>
      <c r="G106" s="509"/>
      <c r="H106" s="509"/>
      <c r="I106" s="509"/>
      <c r="J106" s="265"/>
      <c r="K106" s="267"/>
      <c r="L106" s="16" t="str">
        <f t="shared" si="3"/>
        <v/>
      </c>
    </row>
    <row r="107" spans="3:13" hidden="1" outlineLevel="1" x14ac:dyDescent="0.3">
      <c r="C107" s="231">
        <v>28</v>
      </c>
      <c r="D107" s="523"/>
      <c r="E107" s="523"/>
      <c r="F107" s="523"/>
      <c r="G107" s="509"/>
      <c r="H107" s="509"/>
      <c r="I107" s="509"/>
      <c r="J107" s="265"/>
      <c r="K107" s="267"/>
      <c r="L107" s="16" t="str">
        <f t="shared" si="3"/>
        <v/>
      </c>
    </row>
    <row r="108" spans="3:13" hidden="1" outlineLevel="1" x14ac:dyDescent="0.3">
      <c r="C108" s="231">
        <v>29</v>
      </c>
      <c r="D108" s="523"/>
      <c r="E108" s="523"/>
      <c r="F108" s="523"/>
      <c r="G108" s="509"/>
      <c r="H108" s="509"/>
      <c r="I108" s="509"/>
      <c r="J108" s="265"/>
      <c r="K108" s="267"/>
      <c r="L108" s="16" t="str">
        <f t="shared" si="3"/>
        <v/>
      </c>
      <c r="M108" s="118"/>
    </row>
    <row r="109" spans="3:13" hidden="1" outlineLevel="1" x14ac:dyDescent="0.3">
      <c r="C109" s="231">
        <v>30</v>
      </c>
      <c r="D109" s="523"/>
      <c r="E109" s="523"/>
      <c r="F109" s="523"/>
      <c r="G109" s="509"/>
      <c r="H109" s="509"/>
      <c r="I109" s="509"/>
      <c r="J109" s="265"/>
      <c r="K109" s="267"/>
      <c r="L109" s="16" t="str">
        <f t="shared" si="3"/>
        <v/>
      </c>
    </row>
    <row r="110" spans="3:13" hidden="1" outlineLevel="1" x14ac:dyDescent="0.3">
      <c r="C110" s="231">
        <v>31</v>
      </c>
      <c r="D110" s="523"/>
      <c r="E110" s="523"/>
      <c r="F110" s="523"/>
      <c r="G110" s="509"/>
      <c r="H110" s="509"/>
      <c r="I110" s="509"/>
      <c r="J110" s="265"/>
      <c r="K110" s="267"/>
      <c r="L110" s="16" t="str">
        <f t="shared" si="3"/>
        <v/>
      </c>
    </row>
    <row r="111" spans="3:13" hidden="1" outlineLevel="1" x14ac:dyDescent="0.3">
      <c r="C111" s="231">
        <v>32</v>
      </c>
      <c r="D111" s="523"/>
      <c r="E111" s="523"/>
      <c r="F111" s="523"/>
      <c r="G111" s="509"/>
      <c r="H111" s="509"/>
      <c r="I111" s="509"/>
      <c r="J111" s="265"/>
      <c r="K111" s="267"/>
      <c r="L111" s="16" t="str">
        <f t="shared" si="3"/>
        <v/>
      </c>
    </row>
    <row r="112" spans="3:13" hidden="1" outlineLevel="1" x14ac:dyDescent="0.3">
      <c r="C112" s="231">
        <v>33</v>
      </c>
      <c r="D112" s="523"/>
      <c r="E112" s="523"/>
      <c r="F112" s="523"/>
      <c r="G112" s="509"/>
      <c r="H112" s="509"/>
      <c r="I112" s="509"/>
      <c r="J112" s="265"/>
      <c r="K112" s="267"/>
      <c r="L112" s="16" t="str">
        <f t="shared" si="3"/>
        <v/>
      </c>
    </row>
    <row r="113" spans="3:12" hidden="1" outlineLevel="1" x14ac:dyDescent="0.3">
      <c r="C113" s="231">
        <v>34</v>
      </c>
      <c r="D113" s="523"/>
      <c r="E113" s="523"/>
      <c r="F113" s="523"/>
      <c r="G113" s="509"/>
      <c r="H113" s="509"/>
      <c r="I113" s="509"/>
      <c r="J113" s="265"/>
      <c r="K113" s="267"/>
      <c r="L113" s="16" t="str">
        <f t="shared" si="3"/>
        <v/>
      </c>
    </row>
    <row r="114" spans="3:12" hidden="1" outlineLevel="1" x14ac:dyDescent="0.3">
      <c r="C114" s="231">
        <v>35</v>
      </c>
      <c r="D114" s="523"/>
      <c r="E114" s="523"/>
      <c r="F114" s="523"/>
      <c r="G114" s="509"/>
      <c r="H114" s="509"/>
      <c r="I114" s="509"/>
      <c r="J114" s="265"/>
      <c r="K114" s="267"/>
      <c r="L114" s="16" t="str">
        <f t="shared" si="3"/>
        <v/>
      </c>
    </row>
    <row r="115" spans="3:12" hidden="1" outlineLevel="1" x14ac:dyDescent="0.3">
      <c r="C115" s="231">
        <v>36</v>
      </c>
      <c r="D115" s="523"/>
      <c r="E115" s="523"/>
      <c r="F115" s="523"/>
      <c r="G115" s="509"/>
      <c r="H115" s="509"/>
      <c r="I115" s="509"/>
      <c r="J115" s="265"/>
      <c r="K115" s="267"/>
      <c r="L115" s="16" t="str">
        <f t="shared" si="3"/>
        <v/>
      </c>
    </row>
    <row r="116" spans="3:12" hidden="1" outlineLevel="1" x14ac:dyDescent="0.3">
      <c r="C116" s="231">
        <v>37</v>
      </c>
      <c r="D116" s="523"/>
      <c r="E116" s="523"/>
      <c r="F116" s="523"/>
      <c r="G116" s="509"/>
      <c r="H116" s="509"/>
      <c r="I116" s="509"/>
      <c r="J116" s="265"/>
      <c r="K116" s="267"/>
      <c r="L116" s="16" t="str">
        <f t="shared" si="3"/>
        <v/>
      </c>
    </row>
    <row r="117" spans="3:12" hidden="1" outlineLevel="1" x14ac:dyDescent="0.3">
      <c r="C117" s="231">
        <v>38</v>
      </c>
      <c r="D117" s="523"/>
      <c r="E117" s="523"/>
      <c r="F117" s="523"/>
      <c r="G117" s="509"/>
      <c r="H117" s="509"/>
      <c r="I117" s="509"/>
      <c r="J117" s="265"/>
      <c r="K117" s="267"/>
      <c r="L117" s="16" t="str">
        <f t="shared" si="3"/>
        <v/>
      </c>
    </row>
    <row r="118" spans="3:12" hidden="1" outlineLevel="1" x14ac:dyDescent="0.3">
      <c r="C118" s="231">
        <v>39</v>
      </c>
      <c r="D118" s="523"/>
      <c r="E118" s="523"/>
      <c r="F118" s="523"/>
      <c r="G118" s="509"/>
      <c r="H118" s="509"/>
      <c r="I118" s="509"/>
      <c r="J118" s="265"/>
      <c r="K118" s="267"/>
      <c r="L118" s="16" t="str">
        <f t="shared" si="3"/>
        <v/>
      </c>
    </row>
    <row r="119" spans="3:12" hidden="1" outlineLevel="1" x14ac:dyDescent="0.3">
      <c r="C119" s="231">
        <v>40</v>
      </c>
      <c r="D119" s="523"/>
      <c r="E119" s="523"/>
      <c r="F119" s="523"/>
      <c r="G119" s="509"/>
      <c r="H119" s="509"/>
      <c r="I119" s="509"/>
      <c r="J119" s="265"/>
      <c r="K119" s="267"/>
      <c r="L119" s="16" t="str">
        <f t="shared" si="3"/>
        <v/>
      </c>
    </row>
    <row r="120" spans="3:12" hidden="1" outlineLevel="1" x14ac:dyDescent="0.3">
      <c r="C120" s="231">
        <v>41</v>
      </c>
      <c r="D120" s="523"/>
      <c r="E120" s="523"/>
      <c r="F120" s="523"/>
      <c r="G120" s="509"/>
      <c r="H120" s="509"/>
      <c r="I120" s="509"/>
      <c r="J120" s="265"/>
      <c r="K120" s="267"/>
      <c r="L120" s="16" t="str">
        <f t="shared" si="3"/>
        <v/>
      </c>
    </row>
    <row r="121" spans="3:12" hidden="1" outlineLevel="1" x14ac:dyDescent="0.3">
      <c r="C121" s="231">
        <v>42</v>
      </c>
      <c r="D121" s="523"/>
      <c r="E121" s="523"/>
      <c r="F121" s="523"/>
      <c r="G121" s="509"/>
      <c r="H121" s="509"/>
      <c r="I121" s="509"/>
      <c r="J121" s="265"/>
      <c r="K121" s="267"/>
      <c r="L121" s="16" t="str">
        <f t="shared" si="3"/>
        <v/>
      </c>
    </row>
    <row r="122" spans="3:12" hidden="1" outlineLevel="1" x14ac:dyDescent="0.3">
      <c r="C122" s="231">
        <v>43</v>
      </c>
      <c r="D122" s="523"/>
      <c r="E122" s="523"/>
      <c r="F122" s="523"/>
      <c r="G122" s="509"/>
      <c r="H122" s="509"/>
      <c r="I122" s="509"/>
      <c r="J122" s="265"/>
      <c r="K122" s="267"/>
      <c r="L122" s="16" t="str">
        <f t="shared" si="3"/>
        <v/>
      </c>
    </row>
    <row r="123" spans="3:12" hidden="1" outlineLevel="1" x14ac:dyDescent="0.3">
      <c r="C123" s="231">
        <v>44</v>
      </c>
      <c r="D123" s="523"/>
      <c r="E123" s="523"/>
      <c r="F123" s="523"/>
      <c r="G123" s="509"/>
      <c r="H123" s="509"/>
      <c r="I123" s="509"/>
      <c r="J123" s="265"/>
      <c r="K123" s="267"/>
      <c r="L123" s="16" t="str">
        <f t="shared" si="3"/>
        <v/>
      </c>
    </row>
    <row r="124" spans="3:12" hidden="1" outlineLevel="1" x14ac:dyDescent="0.3">
      <c r="C124" s="231">
        <v>45</v>
      </c>
      <c r="D124" s="523"/>
      <c r="E124" s="523"/>
      <c r="F124" s="523"/>
      <c r="G124" s="509"/>
      <c r="H124" s="509"/>
      <c r="I124" s="509"/>
      <c r="J124" s="265"/>
      <c r="K124" s="267"/>
      <c r="L124" s="16" t="str">
        <f t="shared" si="3"/>
        <v/>
      </c>
    </row>
    <row r="125" spans="3:12" hidden="1" outlineLevel="1" x14ac:dyDescent="0.3">
      <c r="C125" s="231">
        <v>46</v>
      </c>
      <c r="D125" s="523"/>
      <c r="E125" s="523"/>
      <c r="F125" s="523"/>
      <c r="G125" s="509"/>
      <c r="H125" s="509"/>
      <c r="I125" s="509"/>
      <c r="J125" s="265"/>
      <c r="K125" s="267"/>
      <c r="L125" s="16" t="str">
        <f t="shared" si="3"/>
        <v/>
      </c>
    </row>
    <row r="126" spans="3:12" hidden="1" outlineLevel="1" x14ac:dyDescent="0.3">
      <c r="C126" s="231">
        <v>47</v>
      </c>
      <c r="D126" s="523"/>
      <c r="E126" s="523"/>
      <c r="F126" s="523"/>
      <c r="G126" s="509"/>
      <c r="H126" s="509"/>
      <c r="I126" s="509"/>
      <c r="J126" s="265"/>
      <c r="K126" s="267"/>
      <c r="L126" s="16" t="str">
        <f t="shared" si="3"/>
        <v/>
      </c>
    </row>
    <row r="127" spans="3:12" hidden="1" outlineLevel="1" x14ac:dyDescent="0.3">
      <c r="C127" s="231">
        <v>48</v>
      </c>
      <c r="D127" s="523"/>
      <c r="E127" s="523"/>
      <c r="F127" s="523"/>
      <c r="G127" s="509"/>
      <c r="H127" s="509"/>
      <c r="I127" s="509"/>
      <c r="J127" s="265"/>
      <c r="K127" s="267"/>
      <c r="L127" s="16" t="str">
        <f t="shared" si="3"/>
        <v/>
      </c>
    </row>
    <row r="128" spans="3:12" hidden="1" outlineLevel="1" x14ac:dyDescent="0.3">
      <c r="C128" s="231">
        <v>49</v>
      </c>
      <c r="D128" s="523"/>
      <c r="E128" s="523"/>
      <c r="F128" s="523"/>
      <c r="G128" s="509"/>
      <c r="H128" s="509"/>
      <c r="I128" s="509"/>
      <c r="J128" s="265"/>
      <c r="K128" s="267"/>
      <c r="L128" s="16" t="str">
        <f t="shared" si="3"/>
        <v/>
      </c>
    </row>
    <row r="129" spans="3:12" hidden="1" outlineLevel="1" x14ac:dyDescent="0.3">
      <c r="C129" s="231">
        <v>50</v>
      </c>
      <c r="D129" s="523"/>
      <c r="E129" s="523"/>
      <c r="F129" s="523"/>
      <c r="G129" s="509"/>
      <c r="H129" s="509"/>
      <c r="I129" s="509"/>
      <c r="J129" s="265"/>
      <c r="K129" s="267"/>
      <c r="L129" s="16" t="str">
        <f t="shared" si="3"/>
        <v/>
      </c>
    </row>
    <row r="130" spans="3:12" hidden="1" outlineLevel="1" x14ac:dyDescent="0.3">
      <c r="C130" s="231">
        <v>51</v>
      </c>
      <c r="D130" s="523"/>
      <c r="E130" s="523"/>
      <c r="F130" s="523"/>
      <c r="G130" s="509"/>
      <c r="H130" s="509"/>
      <c r="I130" s="509"/>
      <c r="J130" s="265"/>
      <c r="K130" s="267"/>
      <c r="L130" s="16" t="str">
        <f t="shared" si="3"/>
        <v/>
      </c>
    </row>
    <row r="131" spans="3:12" hidden="1" outlineLevel="1" x14ac:dyDescent="0.3">
      <c r="C131" s="231">
        <v>52</v>
      </c>
      <c r="D131" s="523"/>
      <c r="E131" s="523"/>
      <c r="F131" s="523"/>
      <c r="G131" s="509"/>
      <c r="H131" s="509"/>
      <c r="I131" s="509"/>
      <c r="J131" s="265"/>
      <c r="K131" s="267"/>
      <c r="L131" s="16" t="str">
        <f t="shared" si="3"/>
        <v/>
      </c>
    </row>
    <row r="132" spans="3:12" hidden="1" outlineLevel="1" x14ac:dyDescent="0.3">
      <c r="C132" s="231">
        <v>53</v>
      </c>
      <c r="D132" s="523"/>
      <c r="E132" s="523"/>
      <c r="F132" s="523"/>
      <c r="G132" s="509"/>
      <c r="H132" s="509"/>
      <c r="I132" s="509"/>
      <c r="J132" s="265"/>
      <c r="K132" s="267"/>
      <c r="L132" s="16" t="str">
        <f t="shared" si="3"/>
        <v/>
      </c>
    </row>
    <row r="133" spans="3:12" hidden="1" outlineLevel="1" x14ac:dyDescent="0.3">
      <c r="C133" s="231">
        <v>54</v>
      </c>
      <c r="D133" s="523"/>
      <c r="E133" s="523"/>
      <c r="F133" s="523"/>
      <c r="G133" s="509"/>
      <c r="H133" s="509"/>
      <c r="I133" s="509"/>
      <c r="J133" s="265"/>
      <c r="K133" s="267"/>
      <c r="L133" s="16" t="str">
        <f t="shared" si="3"/>
        <v/>
      </c>
    </row>
    <row r="134" spans="3:12" hidden="1" outlineLevel="1" x14ac:dyDescent="0.3">
      <c r="C134" s="231">
        <v>55</v>
      </c>
      <c r="D134" s="523"/>
      <c r="E134" s="523"/>
      <c r="F134" s="523"/>
      <c r="G134" s="509"/>
      <c r="H134" s="509"/>
      <c r="I134" s="509"/>
      <c r="J134" s="265"/>
      <c r="K134" s="267"/>
      <c r="L134" s="16" t="str">
        <f t="shared" si="3"/>
        <v/>
      </c>
    </row>
    <row r="135" spans="3:12" hidden="1" outlineLevel="1" x14ac:dyDescent="0.3">
      <c r="C135" s="231">
        <v>56</v>
      </c>
      <c r="D135" s="523"/>
      <c r="E135" s="523"/>
      <c r="F135" s="523"/>
      <c r="G135" s="509"/>
      <c r="H135" s="509"/>
      <c r="I135" s="509"/>
      <c r="J135" s="265"/>
      <c r="K135" s="267"/>
      <c r="L135" s="16" t="str">
        <f t="shared" si="3"/>
        <v/>
      </c>
    </row>
    <row r="136" spans="3:12" hidden="1" outlineLevel="1" x14ac:dyDescent="0.3">
      <c r="C136" s="231">
        <v>57</v>
      </c>
      <c r="D136" s="523"/>
      <c r="E136" s="523"/>
      <c r="F136" s="523"/>
      <c r="G136" s="509"/>
      <c r="H136" s="509"/>
      <c r="I136" s="509"/>
      <c r="J136" s="265"/>
      <c r="K136" s="267"/>
      <c r="L136" s="16" t="str">
        <f t="shared" si="3"/>
        <v/>
      </c>
    </row>
    <row r="137" spans="3:12" hidden="1" outlineLevel="1" x14ac:dyDescent="0.3">
      <c r="C137" s="231">
        <v>58</v>
      </c>
      <c r="D137" s="523"/>
      <c r="E137" s="523"/>
      <c r="F137" s="523"/>
      <c r="G137" s="509"/>
      <c r="H137" s="509"/>
      <c r="I137" s="509"/>
      <c r="J137" s="265"/>
      <c r="K137" s="267"/>
      <c r="L137" s="16" t="str">
        <f t="shared" si="3"/>
        <v/>
      </c>
    </row>
    <row r="138" spans="3:12" hidden="1" outlineLevel="1" x14ac:dyDescent="0.3">
      <c r="C138" s="231">
        <v>59</v>
      </c>
      <c r="D138" s="523"/>
      <c r="E138" s="523"/>
      <c r="F138" s="523"/>
      <c r="G138" s="509"/>
      <c r="H138" s="509"/>
      <c r="I138" s="509"/>
      <c r="J138" s="265"/>
      <c r="K138" s="267"/>
      <c r="L138" s="16" t="str">
        <f t="shared" si="3"/>
        <v/>
      </c>
    </row>
    <row r="139" spans="3:12" hidden="1" outlineLevel="1" x14ac:dyDescent="0.3">
      <c r="C139" s="231">
        <v>60</v>
      </c>
      <c r="D139" s="523"/>
      <c r="E139" s="523"/>
      <c r="F139" s="523"/>
      <c r="G139" s="509"/>
      <c r="H139" s="509"/>
      <c r="I139" s="509"/>
      <c r="J139" s="265"/>
      <c r="K139" s="267"/>
      <c r="L139" s="16" t="str">
        <f t="shared" si="3"/>
        <v/>
      </c>
    </row>
    <row r="140" spans="3:12" hidden="1" outlineLevel="1" x14ac:dyDescent="0.3">
      <c r="C140" s="231">
        <v>61</v>
      </c>
      <c r="D140" s="523"/>
      <c r="E140" s="523"/>
      <c r="F140" s="523"/>
      <c r="G140" s="509"/>
      <c r="H140" s="509"/>
      <c r="I140" s="509"/>
      <c r="J140" s="265"/>
      <c r="K140" s="267"/>
      <c r="L140" s="16" t="str">
        <f t="shared" si="3"/>
        <v/>
      </c>
    </row>
    <row r="141" spans="3:12" hidden="1" outlineLevel="1" x14ac:dyDescent="0.3">
      <c r="C141" s="231">
        <v>62</v>
      </c>
      <c r="D141" s="523"/>
      <c r="E141" s="523"/>
      <c r="F141" s="523"/>
      <c r="G141" s="509"/>
      <c r="H141" s="509"/>
      <c r="I141" s="509"/>
      <c r="J141" s="265"/>
      <c r="K141" s="267"/>
      <c r="L141" s="16" t="str">
        <f t="shared" si="3"/>
        <v/>
      </c>
    </row>
    <row r="142" spans="3:12" hidden="1" outlineLevel="1" x14ac:dyDescent="0.3">
      <c r="C142" s="231">
        <v>63</v>
      </c>
      <c r="D142" s="523"/>
      <c r="E142" s="523"/>
      <c r="F142" s="523"/>
      <c r="G142" s="509"/>
      <c r="H142" s="509"/>
      <c r="I142" s="509"/>
      <c r="J142" s="265"/>
      <c r="K142" s="267"/>
      <c r="L142" s="16" t="str">
        <f t="shared" si="3"/>
        <v/>
      </c>
    </row>
    <row r="143" spans="3:12" hidden="1" outlineLevel="1" x14ac:dyDescent="0.3">
      <c r="C143" s="231">
        <v>64</v>
      </c>
      <c r="D143" s="523"/>
      <c r="E143" s="523"/>
      <c r="F143" s="523"/>
      <c r="G143" s="509"/>
      <c r="H143" s="509"/>
      <c r="I143" s="509"/>
      <c r="J143" s="265"/>
      <c r="K143" s="267"/>
      <c r="L143" s="16" t="str">
        <f t="shared" si="3"/>
        <v/>
      </c>
    </row>
    <row r="144" spans="3:12" hidden="1" outlineLevel="1" x14ac:dyDescent="0.3">
      <c r="C144" s="231">
        <v>65</v>
      </c>
      <c r="D144" s="523"/>
      <c r="E144" s="523"/>
      <c r="F144" s="523"/>
      <c r="G144" s="509"/>
      <c r="H144" s="509"/>
      <c r="I144" s="509"/>
      <c r="J144" s="265"/>
      <c r="K144" s="267"/>
      <c r="L144" s="16" t="str">
        <f t="shared" si="3"/>
        <v/>
      </c>
    </row>
    <row r="145" spans="3:12" hidden="1" outlineLevel="1" x14ac:dyDescent="0.3">
      <c r="C145" s="231">
        <v>66</v>
      </c>
      <c r="D145" s="523"/>
      <c r="E145" s="523"/>
      <c r="F145" s="523"/>
      <c r="G145" s="509"/>
      <c r="H145" s="509"/>
      <c r="I145" s="509"/>
      <c r="J145" s="265"/>
      <c r="K145" s="267"/>
      <c r="L145" s="16" t="str">
        <f t="shared" si="3"/>
        <v/>
      </c>
    </row>
    <row r="146" spans="3:12" hidden="1" outlineLevel="1" x14ac:dyDescent="0.3">
      <c r="C146" s="231">
        <v>67</v>
      </c>
      <c r="D146" s="523"/>
      <c r="E146" s="523"/>
      <c r="F146" s="523"/>
      <c r="G146" s="509"/>
      <c r="H146" s="509"/>
      <c r="I146" s="509"/>
      <c r="J146" s="265"/>
      <c r="K146" s="267"/>
      <c r="L146" s="16" t="str">
        <f t="shared" si="3"/>
        <v/>
      </c>
    </row>
    <row r="147" spans="3:12" hidden="1" outlineLevel="1" x14ac:dyDescent="0.3">
      <c r="C147" s="231">
        <v>68</v>
      </c>
      <c r="D147" s="523"/>
      <c r="E147" s="523"/>
      <c r="F147" s="523"/>
      <c r="G147" s="509"/>
      <c r="H147" s="509"/>
      <c r="I147" s="509"/>
      <c r="J147" s="265"/>
      <c r="K147" s="267"/>
      <c r="L147" s="16" t="str">
        <f t="shared" si="3"/>
        <v/>
      </c>
    </row>
    <row r="148" spans="3:12" hidden="1" outlineLevel="1" x14ac:dyDescent="0.3">
      <c r="C148" s="231">
        <v>69</v>
      </c>
      <c r="D148" s="523"/>
      <c r="E148" s="523"/>
      <c r="F148" s="523"/>
      <c r="G148" s="509"/>
      <c r="H148" s="509"/>
      <c r="I148" s="509"/>
      <c r="J148" s="265"/>
      <c r="K148" s="267"/>
      <c r="L148" s="16" t="str">
        <f t="shared" si="3"/>
        <v/>
      </c>
    </row>
    <row r="149" spans="3:12" hidden="1" outlineLevel="1" x14ac:dyDescent="0.3">
      <c r="C149" s="231">
        <v>70</v>
      </c>
      <c r="D149" s="523"/>
      <c r="E149" s="523"/>
      <c r="F149" s="523"/>
      <c r="G149" s="509"/>
      <c r="H149" s="509"/>
      <c r="I149" s="509"/>
      <c r="J149" s="265"/>
      <c r="K149" s="267"/>
      <c r="L149" s="16" t="str">
        <f t="shared" si="3"/>
        <v/>
      </c>
    </row>
    <row r="150" spans="3:12" hidden="1" outlineLevel="1" x14ac:dyDescent="0.3">
      <c r="C150" s="231">
        <v>71</v>
      </c>
      <c r="D150" s="523"/>
      <c r="E150" s="523"/>
      <c r="F150" s="523"/>
      <c r="G150" s="509"/>
      <c r="H150" s="509"/>
      <c r="I150" s="509"/>
      <c r="J150" s="265"/>
      <c r="K150" s="267"/>
      <c r="L150" s="16" t="str">
        <f t="shared" si="3"/>
        <v/>
      </c>
    </row>
    <row r="151" spans="3:12" hidden="1" outlineLevel="1" x14ac:dyDescent="0.3">
      <c r="C151" s="231">
        <v>72</v>
      </c>
      <c r="D151" s="523"/>
      <c r="E151" s="523"/>
      <c r="F151" s="523"/>
      <c r="G151" s="509"/>
      <c r="H151" s="509"/>
      <c r="I151" s="509"/>
      <c r="J151" s="265"/>
      <c r="K151" s="267"/>
      <c r="L151" s="16" t="str">
        <f t="shared" si="3"/>
        <v/>
      </c>
    </row>
    <row r="152" spans="3:12" hidden="1" outlineLevel="1" x14ac:dyDescent="0.3">
      <c r="C152" s="231">
        <v>73</v>
      </c>
      <c r="D152" s="523"/>
      <c r="E152" s="523"/>
      <c r="F152" s="523"/>
      <c r="G152" s="509"/>
      <c r="H152" s="509"/>
      <c r="I152" s="509"/>
      <c r="J152" s="265"/>
      <c r="K152" s="267"/>
      <c r="L152" s="16" t="str">
        <f t="shared" si="3"/>
        <v/>
      </c>
    </row>
    <row r="153" spans="3:12" hidden="1" outlineLevel="1" x14ac:dyDescent="0.3">
      <c r="C153" s="231">
        <v>74</v>
      </c>
      <c r="D153" s="523"/>
      <c r="E153" s="523"/>
      <c r="F153" s="523"/>
      <c r="G153" s="509"/>
      <c r="H153" s="509"/>
      <c r="I153" s="509"/>
      <c r="J153" s="265"/>
      <c r="K153" s="267"/>
      <c r="L153" s="16" t="str">
        <f t="shared" si="3"/>
        <v/>
      </c>
    </row>
    <row r="154" spans="3:12" hidden="1" outlineLevel="1" x14ac:dyDescent="0.3">
      <c r="C154" s="231">
        <v>75</v>
      </c>
      <c r="D154" s="523"/>
      <c r="E154" s="523"/>
      <c r="F154" s="523"/>
      <c r="G154" s="509"/>
      <c r="H154" s="509"/>
      <c r="I154" s="509"/>
      <c r="J154" s="265"/>
      <c r="K154" s="267"/>
      <c r="L154" s="16" t="str">
        <f t="shared" si="3"/>
        <v/>
      </c>
    </row>
    <row r="155" spans="3:12" hidden="1" outlineLevel="1" x14ac:dyDescent="0.3">
      <c r="C155" s="231">
        <v>76</v>
      </c>
      <c r="D155" s="523"/>
      <c r="E155" s="523"/>
      <c r="F155" s="523"/>
      <c r="G155" s="509"/>
      <c r="H155" s="509"/>
      <c r="I155" s="509"/>
      <c r="J155" s="265"/>
      <c r="K155" s="267"/>
      <c r="L155" s="16" t="str">
        <f t="shared" si="3"/>
        <v/>
      </c>
    </row>
    <row r="156" spans="3:12" hidden="1" outlineLevel="1" x14ac:dyDescent="0.3">
      <c r="C156" s="231">
        <v>77</v>
      </c>
      <c r="D156" s="523"/>
      <c r="E156" s="523"/>
      <c r="F156" s="523"/>
      <c r="G156" s="509"/>
      <c r="H156" s="509"/>
      <c r="I156" s="509"/>
      <c r="J156" s="265"/>
      <c r="K156" s="267"/>
      <c r="L156" s="16" t="str">
        <f t="shared" si="3"/>
        <v/>
      </c>
    </row>
    <row r="157" spans="3:12" hidden="1" outlineLevel="1" x14ac:dyDescent="0.3">
      <c r="C157" s="231">
        <v>78</v>
      </c>
      <c r="D157" s="523"/>
      <c r="E157" s="523"/>
      <c r="F157" s="523"/>
      <c r="G157" s="509"/>
      <c r="H157" s="509"/>
      <c r="I157" s="509"/>
      <c r="J157" s="265"/>
      <c r="K157" s="267"/>
      <c r="L157" s="16" t="str">
        <f t="shared" si="3"/>
        <v/>
      </c>
    </row>
    <row r="158" spans="3:12" hidden="1" outlineLevel="1" x14ac:dyDescent="0.3">
      <c r="C158" s="231">
        <v>79</v>
      </c>
      <c r="D158" s="523"/>
      <c r="E158" s="523"/>
      <c r="F158" s="523"/>
      <c r="G158" s="509"/>
      <c r="H158" s="509"/>
      <c r="I158" s="509"/>
      <c r="J158" s="265"/>
      <c r="K158" s="267"/>
      <c r="L158" s="16" t="str">
        <f t="shared" si="3"/>
        <v/>
      </c>
    </row>
    <row r="159" spans="3:12" hidden="1" outlineLevel="1" x14ac:dyDescent="0.3">
      <c r="C159" s="231">
        <v>80</v>
      </c>
      <c r="D159" s="523"/>
      <c r="E159" s="523"/>
      <c r="F159" s="523"/>
      <c r="G159" s="509"/>
      <c r="H159" s="509"/>
      <c r="I159" s="509"/>
      <c r="J159" s="265"/>
      <c r="K159" s="267"/>
      <c r="L159" s="16" t="str">
        <f t="shared" si="3"/>
        <v/>
      </c>
    </row>
    <row r="160" spans="3:12" hidden="1" outlineLevel="1" x14ac:dyDescent="0.3">
      <c r="C160" s="231">
        <v>81</v>
      </c>
      <c r="D160" s="523"/>
      <c r="E160" s="523"/>
      <c r="F160" s="523"/>
      <c r="G160" s="509"/>
      <c r="H160" s="509"/>
      <c r="I160" s="509"/>
      <c r="J160" s="265"/>
      <c r="K160" s="267"/>
      <c r="L160" s="16" t="str">
        <f t="shared" si="3"/>
        <v/>
      </c>
    </row>
    <row r="161" spans="3:12" hidden="1" outlineLevel="1" x14ac:dyDescent="0.3">
      <c r="C161" s="231">
        <v>82</v>
      </c>
      <c r="D161" s="523"/>
      <c r="E161" s="523"/>
      <c r="F161" s="523"/>
      <c r="G161" s="509"/>
      <c r="H161" s="509"/>
      <c r="I161" s="509"/>
      <c r="J161" s="265"/>
      <c r="K161" s="267"/>
      <c r="L161" s="16" t="str">
        <f t="shared" si="3"/>
        <v/>
      </c>
    </row>
    <row r="162" spans="3:12" hidden="1" outlineLevel="1" x14ac:dyDescent="0.3">
      <c r="C162" s="231">
        <v>83</v>
      </c>
      <c r="D162" s="523"/>
      <c r="E162" s="523"/>
      <c r="F162" s="523"/>
      <c r="G162" s="509"/>
      <c r="H162" s="509"/>
      <c r="I162" s="509"/>
      <c r="J162" s="265"/>
      <c r="K162" s="267"/>
      <c r="L162" s="16" t="str">
        <f t="shared" si="3"/>
        <v/>
      </c>
    </row>
    <row r="163" spans="3:12" hidden="1" outlineLevel="1" x14ac:dyDescent="0.3">
      <c r="C163" s="231">
        <v>84</v>
      </c>
      <c r="D163" s="523"/>
      <c r="E163" s="523"/>
      <c r="F163" s="523"/>
      <c r="G163" s="509"/>
      <c r="H163" s="509"/>
      <c r="I163" s="509"/>
      <c r="J163" s="265"/>
      <c r="K163" s="267"/>
      <c r="L163" s="16" t="str">
        <f t="shared" si="3"/>
        <v/>
      </c>
    </row>
    <row r="164" spans="3:12" hidden="1" outlineLevel="1" x14ac:dyDescent="0.3">
      <c r="C164" s="231">
        <v>85</v>
      </c>
      <c r="D164" s="523"/>
      <c r="E164" s="523"/>
      <c r="F164" s="523"/>
      <c r="G164" s="509"/>
      <c r="H164" s="509"/>
      <c r="I164" s="509"/>
      <c r="J164" s="265"/>
      <c r="K164" s="267"/>
      <c r="L164" s="16" t="str">
        <f t="shared" si="3"/>
        <v/>
      </c>
    </row>
    <row r="165" spans="3:12" hidden="1" outlineLevel="1" x14ac:dyDescent="0.3">
      <c r="C165" s="231">
        <v>86</v>
      </c>
      <c r="D165" s="523"/>
      <c r="E165" s="523"/>
      <c r="F165" s="523"/>
      <c r="G165" s="509"/>
      <c r="H165" s="509"/>
      <c r="I165" s="509"/>
      <c r="J165" s="265"/>
      <c r="K165" s="267"/>
      <c r="L165" s="16" t="str">
        <f t="shared" si="3"/>
        <v/>
      </c>
    </row>
    <row r="166" spans="3:12" hidden="1" outlineLevel="1" x14ac:dyDescent="0.3">
      <c r="C166" s="231">
        <v>87</v>
      </c>
      <c r="D166" s="523"/>
      <c r="E166" s="523"/>
      <c r="F166" s="523"/>
      <c r="G166" s="509"/>
      <c r="H166" s="509"/>
      <c r="I166" s="509"/>
      <c r="J166" s="265"/>
      <c r="K166" s="267"/>
      <c r="L166" s="16" t="str">
        <f t="shared" si="3"/>
        <v/>
      </c>
    </row>
    <row r="167" spans="3:12" hidden="1" outlineLevel="1" x14ac:dyDescent="0.3">
      <c r="C167" s="231">
        <v>88</v>
      </c>
      <c r="D167" s="523"/>
      <c r="E167" s="523"/>
      <c r="F167" s="523"/>
      <c r="G167" s="509"/>
      <c r="H167" s="509"/>
      <c r="I167" s="509"/>
      <c r="J167" s="265"/>
      <c r="K167" s="267"/>
      <c r="L167" s="16" t="str">
        <f t="shared" si="3"/>
        <v/>
      </c>
    </row>
    <row r="168" spans="3:12" hidden="1" outlineLevel="1" x14ac:dyDescent="0.3">
      <c r="C168" s="231">
        <v>89</v>
      </c>
      <c r="D168" s="523"/>
      <c r="E168" s="523"/>
      <c r="F168" s="523"/>
      <c r="G168" s="509"/>
      <c r="H168" s="509"/>
      <c r="I168" s="509"/>
      <c r="J168" s="265"/>
      <c r="K168" s="267"/>
      <c r="L168" s="16" t="str">
        <f t="shared" si="3"/>
        <v/>
      </c>
    </row>
    <row r="169" spans="3:12" hidden="1" outlineLevel="1" x14ac:dyDescent="0.3">
      <c r="C169" s="231">
        <v>90</v>
      </c>
      <c r="D169" s="523"/>
      <c r="E169" s="523"/>
      <c r="F169" s="523"/>
      <c r="G169" s="509"/>
      <c r="H169" s="509"/>
      <c r="I169" s="509"/>
      <c r="J169" s="265"/>
      <c r="K169" s="267"/>
      <c r="L169" s="16" t="str">
        <f t="shared" si="3"/>
        <v/>
      </c>
    </row>
    <row r="170" spans="3:12" hidden="1" outlineLevel="1" x14ac:dyDescent="0.3">
      <c r="C170" s="231">
        <v>91</v>
      </c>
      <c r="D170" s="523"/>
      <c r="E170" s="523"/>
      <c r="F170" s="523"/>
      <c r="G170" s="509"/>
      <c r="H170" s="509"/>
      <c r="I170" s="509"/>
      <c r="J170" s="265"/>
      <c r="K170" s="267"/>
      <c r="L170" s="16" t="str">
        <f t="shared" si="3"/>
        <v/>
      </c>
    </row>
    <row r="171" spans="3:12" hidden="1" outlineLevel="1" x14ac:dyDescent="0.3">
      <c r="C171" s="231">
        <v>92</v>
      </c>
      <c r="D171" s="523"/>
      <c r="E171" s="523"/>
      <c r="F171" s="523"/>
      <c r="G171" s="509"/>
      <c r="H171" s="509"/>
      <c r="I171" s="509"/>
      <c r="J171" s="265"/>
      <c r="K171" s="267"/>
      <c r="L171" s="16" t="str">
        <f t="shared" si="3"/>
        <v/>
      </c>
    </row>
    <row r="172" spans="3:12" hidden="1" outlineLevel="1" x14ac:dyDescent="0.3">
      <c r="C172" s="231">
        <v>93</v>
      </c>
      <c r="D172" s="523"/>
      <c r="E172" s="523"/>
      <c r="F172" s="523"/>
      <c r="G172" s="509"/>
      <c r="H172" s="509"/>
      <c r="I172" s="509"/>
      <c r="J172" s="265"/>
      <c r="K172" s="267"/>
      <c r="L172" s="16" t="str">
        <f t="shared" si="3"/>
        <v/>
      </c>
    </row>
    <row r="173" spans="3:12" hidden="1" outlineLevel="1" x14ac:dyDescent="0.3">
      <c r="C173" s="231">
        <v>94</v>
      </c>
      <c r="D173" s="523"/>
      <c r="E173" s="523"/>
      <c r="F173" s="523"/>
      <c r="G173" s="509"/>
      <c r="H173" s="509"/>
      <c r="I173" s="509"/>
      <c r="J173" s="265"/>
      <c r="K173" s="267"/>
      <c r="L173" s="16" t="str">
        <f t="shared" si="3"/>
        <v/>
      </c>
    </row>
    <row r="174" spans="3:12" hidden="1" outlineLevel="1" x14ac:dyDescent="0.3">
      <c r="C174" s="231">
        <v>95</v>
      </c>
      <c r="D174" s="523"/>
      <c r="E174" s="523"/>
      <c r="F174" s="523"/>
      <c r="G174" s="509"/>
      <c r="H174" s="509"/>
      <c r="I174" s="509"/>
      <c r="J174" s="265"/>
      <c r="K174" s="267"/>
      <c r="L174" s="16" t="str">
        <f t="shared" si="3"/>
        <v/>
      </c>
    </row>
    <row r="175" spans="3:12" hidden="1" outlineLevel="1" x14ac:dyDescent="0.3">
      <c r="C175" s="231">
        <v>96</v>
      </c>
      <c r="D175" s="523"/>
      <c r="E175" s="523"/>
      <c r="F175" s="523"/>
      <c r="G175" s="509"/>
      <c r="H175" s="509"/>
      <c r="I175" s="509"/>
      <c r="J175" s="265"/>
      <c r="K175" s="267"/>
      <c r="L175" s="16" t="str">
        <f t="shared" si="3"/>
        <v/>
      </c>
    </row>
    <row r="176" spans="3:12" hidden="1" outlineLevel="1" x14ac:dyDescent="0.3">
      <c r="C176" s="231">
        <v>97</v>
      </c>
      <c r="D176" s="523"/>
      <c r="E176" s="523"/>
      <c r="F176" s="523"/>
      <c r="G176" s="509"/>
      <c r="H176" s="509"/>
      <c r="I176" s="509"/>
      <c r="J176" s="265"/>
      <c r="K176" s="267"/>
      <c r="L176" s="16" t="str">
        <f t="shared" si="3"/>
        <v/>
      </c>
    </row>
    <row r="177" spans="3:17" hidden="1" outlineLevel="1" x14ac:dyDescent="0.3">
      <c r="C177" s="231">
        <v>98</v>
      </c>
      <c r="D177" s="523"/>
      <c r="E177" s="523"/>
      <c r="F177" s="523"/>
      <c r="G177" s="509"/>
      <c r="H177" s="509"/>
      <c r="I177" s="509"/>
      <c r="J177" s="265"/>
      <c r="K177" s="267"/>
      <c r="L177" s="16" t="str">
        <f t="shared" si="3"/>
        <v/>
      </c>
    </row>
    <row r="178" spans="3:17" hidden="1" outlineLevel="1" x14ac:dyDescent="0.3">
      <c r="C178" s="231">
        <v>99</v>
      </c>
      <c r="D178" s="523"/>
      <c r="E178" s="523"/>
      <c r="F178" s="523"/>
      <c r="G178" s="509"/>
      <c r="H178" s="509"/>
      <c r="I178" s="509"/>
      <c r="J178" s="265"/>
      <c r="K178" s="267"/>
      <c r="L178" s="16" t="str">
        <f t="shared" si="3"/>
        <v/>
      </c>
    </row>
    <row r="179" spans="3:17" ht="15" hidden="1" outlineLevel="1" thickBot="1" x14ac:dyDescent="0.35">
      <c r="C179" s="231">
        <v>100</v>
      </c>
      <c r="D179" s="523"/>
      <c r="E179" s="523"/>
      <c r="F179" s="523"/>
      <c r="G179" s="726"/>
      <c r="H179" s="726"/>
      <c r="I179" s="726"/>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734" t="str">
        <f>template_label_b5_sites_in_biodiversity_sensitive_areas&amp;" "&amp;template_label_from&amp;" "&amp;template_starting_date_display&amp;" "&amp;template_label_to&amp;" "&amp;template_ending_date_display&amp;" "&amp;template_label_if_applicable</f>
        <v>B5 – Siti all'interno di aree sensibili sotto il profilo della biodiversità da 2024-01-01 a 2024-12-31 [Se applicabile]</v>
      </c>
      <c r="D181" s="734"/>
      <c r="E181" s="734"/>
      <c r="F181" s="734"/>
      <c r="G181" s="734"/>
      <c r="H181" s="734"/>
      <c r="I181" s="734"/>
      <c r="J181" s="734"/>
      <c r="K181" s="735"/>
    </row>
    <row r="182" spans="3:17" x14ac:dyDescent="0.3">
      <c r="C182" s="585">
        <v>33</v>
      </c>
      <c r="D182" s="585"/>
      <c r="E182" s="585"/>
      <c r="F182" s="585"/>
      <c r="G182" s="585"/>
      <c r="H182" s="585"/>
      <c r="I182" s="585"/>
      <c r="J182" s="585"/>
      <c r="K182" s="753"/>
    </row>
    <row r="183" spans="3:17" x14ac:dyDescent="0.3">
      <c r="C183" s="736" t="s">
        <v>5649</v>
      </c>
      <c r="D183" s="736"/>
      <c r="E183" s="736"/>
      <c r="F183" s="736"/>
      <c r="G183" s="736"/>
      <c r="H183" s="736"/>
      <c r="I183" s="736"/>
      <c r="J183" s="736"/>
      <c r="K183" s="737"/>
    </row>
    <row r="184" spans="3:17" x14ac:dyDescent="0.3">
      <c r="C184" s="560" t="str">
        <f>template_label_does_the_undertaking_have_sites_that_are_located_in_or_near_biodiversity_sensitive_areas</f>
        <v>L'impresa ha siti ubicati all'interno o in prossimità di un'area sensibile sotto il profilo della biodiversità?</v>
      </c>
      <c r="D184" s="561"/>
      <c r="E184" s="561"/>
      <c r="F184" s="561"/>
      <c r="G184" s="758" t="b">
        <v>1</v>
      </c>
      <c r="H184" s="759"/>
      <c r="I184" s="759"/>
      <c r="J184" s="759"/>
      <c r="K184" s="760"/>
    </row>
    <row r="185" spans="3:17" x14ac:dyDescent="0.3">
      <c r="C185" s="761" t="str">
        <f>template_label_please_select_the_unit_used_for_the_area</f>
        <v>Si prega di selezionare l'unità di misura utilizzata per la superficie (ossia, ettari o m²):</v>
      </c>
      <c r="D185" s="762"/>
      <c r="E185" s="762"/>
      <c r="F185" s="762"/>
      <c r="G185" s="762"/>
      <c r="H185" s="762"/>
      <c r="I185" s="762"/>
      <c r="J185" s="762"/>
      <c r="K185" s="763"/>
    </row>
    <row r="186" spans="3:17" ht="15" thickBot="1" x14ac:dyDescent="0.35">
      <c r="C186" s="693" t="s">
        <v>9554</v>
      </c>
      <c r="D186" s="694"/>
      <c r="E186" s="694"/>
      <c r="F186" s="694"/>
      <c r="G186" s="694"/>
      <c r="H186" s="694"/>
      <c r="I186" s="694"/>
      <c r="J186" s="694"/>
      <c r="K186" s="695"/>
      <c r="L186" s="17" t="str">
        <f>IF(AND(G184=TRUE,C186=""), template_label_missing_value, IF(AND(G184=TRUE,C186&lt;&gt;""), template_label_ok, ""))</f>
        <v>OK</v>
      </c>
    </row>
    <row r="187" spans="3:17" ht="57.6" customHeight="1" x14ac:dyDescent="0.3">
      <c r="C187" s="120" t="str">
        <f>template_label_related_site_id</f>
        <v>ID del sito correlato (selezionare un ID da un'ubicazione del sito riportata in B1)</v>
      </c>
      <c r="D187" s="723" t="str">
        <f>template_label_site_location_in_near_a_biodiversity_area</f>
        <v>Ubicazione del sito all'interno o in prossimità di un'area sensibile sotto il profilo della biodiversità - compilato automaticamente da B1</v>
      </c>
      <c r="E187" s="724"/>
      <c r="F187" s="725"/>
      <c r="G187" s="723" t="str">
        <f>template_label_area_hectares_or_m2</f>
        <v>Superficie (ettari o m² in base alla selezione sopra)</v>
      </c>
      <c r="H187" s="724"/>
      <c r="I187" s="725"/>
      <c r="J187" s="235" t="str">
        <f>template_label_site_located_in_a_biodiversity_sensitive_area</f>
        <v>Sito ubicato all'interno di un'area sensibile sotto il profilo della biodiversità</v>
      </c>
      <c r="K187" s="236" t="str">
        <f>template_label_site_located_near_a_biodiversity_sensitive_area</f>
        <v>Sito ubicato in prossimità di un'area sensibile sotto il profilo della biodiversità</v>
      </c>
    </row>
    <row r="188" spans="3:17" x14ac:dyDescent="0.3">
      <c r="C188" s="231">
        <v>1</v>
      </c>
      <c r="D188" s="635"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Italy Milan Duomo Square</v>
      </c>
      <c r="E188" s="636"/>
      <c r="F188" s="637"/>
      <c r="G188" s="506">
        <v>1200</v>
      </c>
      <c r="H188" s="507"/>
      <c r="I188" s="507"/>
      <c r="J188" s="240" t="b">
        <v>1</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Se viene visualizzata una convalida relativa all'incoerenza di valore, selezionare un ID sito diverso da quelli precedentemente selezionati.</v>
      </c>
    </row>
    <row r="189" spans="3:17" x14ac:dyDescent="0.3">
      <c r="C189" s="231"/>
      <c r="D189" s="567"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568"/>
      <c r="F189" s="569"/>
      <c r="G189" s="506"/>
      <c r="H189" s="507"/>
      <c r="I189" s="507"/>
      <c r="J189" s="240" t="b">
        <v>0</v>
      </c>
      <c r="K189" s="238" t="b">
        <v>0</v>
      </c>
      <c r="L189" s="17" t="str">
        <f t="shared" si="4"/>
        <v/>
      </c>
    </row>
    <row r="190" spans="3:17" ht="15" thickBot="1" x14ac:dyDescent="0.35">
      <c r="C190" s="233"/>
      <c r="D190" s="658"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659"/>
      <c r="F190" s="660"/>
      <c r="G190" s="738"/>
      <c r="H190" s="738"/>
      <c r="I190" s="738"/>
      <c r="J190" s="241" t="b">
        <v>0</v>
      </c>
      <c r="K190" s="239" t="b">
        <v>0</v>
      </c>
      <c r="L190" s="17" t="str">
        <f t="shared" si="4"/>
        <v/>
      </c>
      <c r="M190"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191" spans="3:17" hidden="1" outlineLevel="1" x14ac:dyDescent="0.3">
      <c r="C191" s="232"/>
      <c r="D191" s="564"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565"/>
      <c r="F191" s="566"/>
      <c r="G191" s="799"/>
      <c r="H191" s="800"/>
      <c r="I191" s="801"/>
      <c r="J191" s="242" t="b">
        <v>0</v>
      </c>
      <c r="K191" s="237" t="b">
        <v>0</v>
      </c>
      <c r="L191" s="17" t="str">
        <f t="shared" si="4"/>
        <v/>
      </c>
      <c r="M191" s="10"/>
      <c r="N191" s="10"/>
      <c r="O191" s="10"/>
      <c r="P191" s="10"/>
      <c r="Q191" s="10"/>
    </row>
    <row r="192" spans="3:17" hidden="1" outlineLevel="1" x14ac:dyDescent="0.3">
      <c r="C192" s="232"/>
      <c r="D192" s="567"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568"/>
      <c r="F192" s="569"/>
      <c r="G192" s="506"/>
      <c r="H192" s="507"/>
      <c r="I192" s="508"/>
      <c r="J192" s="243" t="b">
        <v>0</v>
      </c>
      <c r="K192" s="238" t="b">
        <v>0</v>
      </c>
      <c r="L192" s="17" t="str">
        <f t="shared" si="4"/>
        <v/>
      </c>
      <c r="M192" s="10"/>
      <c r="N192" s="10"/>
      <c r="O192" s="10"/>
      <c r="P192" s="10"/>
      <c r="Q192" s="10"/>
    </row>
    <row r="193" spans="3:17" hidden="1" outlineLevel="1" x14ac:dyDescent="0.3">
      <c r="C193" s="231"/>
      <c r="D193" s="567"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568"/>
      <c r="F193" s="569"/>
      <c r="G193" s="506"/>
      <c r="H193" s="507"/>
      <c r="I193" s="508"/>
      <c r="J193" s="243" t="b">
        <v>0</v>
      </c>
      <c r="K193" s="238" t="b">
        <v>0</v>
      </c>
      <c r="L193" s="17" t="str">
        <f t="shared" si="4"/>
        <v/>
      </c>
      <c r="M193" s="10"/>
      <c r="N193" s="10"/>
      <c r="O193" s="10"/>
      <c r="P193" s="10"/>
      <c r="Q193" s="10"/>
    </row>
    <row r="194" spans="3:17" hidden="1" outlineLevel="1" x14ac:dyDescent="0.3">
      <c r="C194" s="231"/>
      <c r="D194" s="567"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568"/>
      <c r="F194" s="569"/>
      <c r="G194" s="506"/>
      <c r="H194" s="507"/>
      <c r="I194" s="508"/>
      <c r="J194" s="243" t="b">
        <v>0</v>
      </c>
      <c r="K194" s="238" t="b">
        <v>0</v>
      </c>
      <c r="L194" s="17" t="str">
        <f t="shared" si="4"/>
        <v/>
      </c>
      <c r="M194" s="10"/>
      <c r="N194" s="10"/>
      <c r="O194" s="10"/>
      <c r="P194" s="10"/>
      <c r="Q194" s="10"/>
    </row>
    <row r="195" spans="3:17" hidden="1" outlineLevel="1" x14ac:dyDescent="0.3">
      <c r="C195" s="231"/>
      <c r="D195" s="567"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568"/>
      <c r="F195" s="569"/>
      <c r="G195" s="506"/>
      <c r="H195" s="507"/>
      <c r="I195" s="508"/>
      <c r="J195" s="243" t="b">
        <v>0</v>
      </c>
      <c r="K195" s="238" t="b">
        <v>0</v>
      </c>
      <c r="L195" s="17" t="str">
        <f t="shared" si="4"/>
        <v/>
      </c>
      <c r="M195" s="10"/>
      <c r="N195" s="10"/>
      <c r="O195" s="10"/>
      <c r="P195" s="10"/>
      <c r="Q195" s="10"/>
    </row>
    <row r="196" spans="3:17" hidden="1" outlineLevel="1" x14ac:dyDescent="0.3">
      <c r="C196" s="231"/>
      <c r="D196" s="567"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568"/>
      <c r="F196" s="569"/>
      <c r="G196" s="506"/>
      <c r="H196" s="507"/>
      <c r="I196" s="508"/>
      <c r="J196" s="243" t="b">
        <v>0</v>
      </c>
      <c r="K196" s="238" t="b">
        <v>0</v>
      </c>
      <c r="L196" s="17" t="str">
        <f t="shared" si="4"/>
        <v/>
      </c>
      <c r="M196" s="10"/>
      <c r="N196" s="10"/>
      <c r="O196" s="10"/>
      <c r="P196" s="10"/>
      <c r="Q196" s="10"/>
    </row>
    <row r="197" spans="3:17" hidden="1" outlineLevel="1" x14ac:dyDescent="0.3">
      <c r="C197" s="231"/>
      <c r="D197" s="567"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568"/>
      <c r="F197" s="569"/>
      <c r="G197" s="506"/>
      <c r="H197" s="507"/>
      <c r="I197" s="508"/>
      <c r="J197" s="243" t="b">
        <v>0</v>
      </c>
      <c r="K197" s="238" t="b">
        <v>0</v>
      </c>
      <c r="L197" s="17" t="str">
        <f t="shared" si="4"/>
        <v/>
      </c>
      <c r="M197" s="10"/>
      <c r="N197" s="10"/>
      <c r="O197" s="10"/>
      <c r="P197" s="10"/>
      <c r="Q197" s="10"/>
    </row>
    <row r="198" spans="3:17" hidden="1" outlineLevel="1" x14ac:dyDescent="0.3">
      <c r="C198" s="231"/>
      <c r="D198" s="567"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568"/>
      <c r="F198" s="569"/>
      <c r="G198" s="506"/>
      <c r="H198" s="507"/>
      <c r="I198" s="508"/>
      <c r="J198" s="243" t="b">
        <v>0</v>
      </c>
      <c r="K198" s="238" t="b">
        <v>0</v>
      </c>
      <c r="L198" s="17" t="str">
        <f t="shared" si="4"/>
        <v/>
      </c>
      <c r="M198" s="10"/>
      <c r="N198" s="10"/>
      <c r="O198" s="10"/>
      <c r="P198" s="10"/>
      <c r="Q198" s="10"/>
    </row>
    <row r="199" spans="3:17" hidden="1" outlineLevel="1" x14ac:dyDescent="0.3">
      <c r="C199" s="231"/>
      <c r="D199" s="567"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568"/>
      <c r="F199" s="569"/>
      <c r="G199" s="506"/>
      <c r="H199" s="507"/>
      <c r="I199" s="508"/>
      <c r="J199" s="243" t="b">
        <v>0</v>
      </c>
      <c r="K199" s="238" t="b">
        <v>0</v>
      </c>
      <c r="L199" s="17" t="str">
        <f t="shared" si="4"/>
        <v/>
      </c>
      <c r="M199" s="10"/>
      <c r="N199" s="10"/>
      <c r="O199" s="10"/>
      <c r="P199" s="10"/>
      <c r="Q199" s="10"/>
    </row>
    <row r="200" spans="3:17" hidden="1" outlineLevel="1" x14ac:dyDescent="0.3">
      <c r="C200" s="231"/>
      <c r="D200" s="567"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568"/>
      <c r="F200" s="569"/>
      <c r="G200" s="506"/>
      <c r="H200" s="507"/>
      <c r="I200" s="508"/>
      <c r="J200" s="243" t="b">
        <v>0</v>
      </c>
      <c r="K200" s="238" t="b">
        <v>0</v>
      </c>
      <c r="L200" s="17" t="str">
        <f t="shared" si="4"/>
        <v/>
      </c>
      <c r="M200" s="10"/>
      <c r="N200" s="10"/>
      <c r="O200" s="10"/>
      <c r="P200" s="10"/>
      <c r="Q200" s="10"/>
    </row>
    <row r="201" spans="3:17" hidden="1" outlineLevel="1" x14ac:dyDescent="0.3">
      <c r="C201" s="231"/>
      <c r="D201" s="567"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568"/>
      <c r="F201" s="569"/>
      <c r="G201" s="506"/>
      <c r="H201" s="507"/>
      <c r="I201" s="508"/>
      <c r="J201" s="243" t="b">
        <v>0</v>
      </c>
      <c r="K201" s="238" t="b">
        <v>0</v>
      </c>
      <c r="L201" s="17" t="str">
        <f t="shared" si="4"/>
        <v/>
      </c>
      <c r="M201" s="10"/>
      <c r="N201" s="10"/>
      <c r="O201" s="10"/>
      <c r="P201" s="10"/>
      <c r="Q201" s="10"/>
    </row>
    <row r="202" spans="3:17" hidden="1" outlineLevel="1" x14ac:dyDescent="0.3">
      <c r="C202" s="231"/>
      <c r="D202" s="567"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568"/>
      <c r="F202" s="569"/>
      <c r="G202" s="506"/>
      <c r="H202" s="507"/>
      <c r="I202" s="508"/>
      <c r="J202" s="243" t="b">
        <v>0</v>
      </c>
      <c r="K202" s="238" t="b">
        <v>0</v>
      </c>
      <c r="L202" s="17" t="str">
        <f t="shared" si="4"/>
        <v/>
      </c>
      <c r="M202" s="10"/>
      <c r="N202" s="10"/>
      <c r="O202" s="10"/>
      <c r="P202" s="10"/>
      <c r="Q202" s="10"/>
    </row>
    <row r="203" spans="3:17" hidden="1" outlineLevel="1" x14ac:dyDescent="0.3">
      <c r="C203" s="231"/>
      <c r="D203" s="567"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568"/>
      <c r="F203" s="569"/>
      <c r="G203" s="506"/>
      <c r="H203" s="507"/>
      <c r="I203" s="508"/>
      <c r="J203" s="243" t="b">
        <v>0</v>
      </c>
      <c r="K203" s="238" t="b">
        <v>0</v>
      </c>
      <c r="L203" s="17" t="str">
        <f t="shared" si="4"/>
        <v/>
      </c>
      <c r="M203" s="10"/>
      <c r="N203" s="10"/>
      <c r="O203" s="10"/>
      <c r="P203" s="10"/>
      <c r="Q203" s="10"/>
    </row>
    <row r="204" spans="3:17" hidden="1" outlineLevel="1" x14ac:dyDescent="0.3">
      <c r="C204" s="231"/>
      <c r="D204" s="567"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568"/>
      <c r="F204" s="569"/>
      <c r="G204" s="506"/>
      <c r="H204" s="507"/>
      <c r="I204" s="508"/>
      <c r="J204" s="243" t="b">
        <v>0</v>
      </c>
      <c r="K204" s="238" t="b">
        <v>0</v>
      </c>
      <c r="L204" s="17" t="str">
        <f t="shared" si="4"/>
        <v/>
      </c>
      <c r="M204" s="10"/>
      <c r="N204" s="10"/>
      <c r="O204" s="10"/>
      <c r="P204" s="10"/>
      <c r="Q204" s="10"/>
    </row>
    <row r="205" spans="3:17" hidden="1" outlineLevel="1" x14ac:dyDescent="0.3">
      <c r="C205" s="231"/>
      <c r="D205" s="567"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568"/>
      <c r="F205" s="569"/>
      <c r="G205" s="506"/>
      <c r="H205" s="507"/>
      <c r="I205" s="508"/>
      <c r="J205" s="243" t="b">
        <v>0</v>
      </c>
      <c r="K205" s="238" t="b">
        <v>0</v>
      </c>
      <c r="L205" s="17" t="str">
        <f t="shared" si="4"/>
        <v/>
      </c>
      <c r="M205" s="10"/>
      <c r="N205" s="10"/>
      <c r="O205" s="10"/>
      <c r="P205" s="10"/>
      <c r="Q205" s="10"/>
    </row>
    <row r="206" spans="3:17" hidden="1" outlineLevel="1" x14ac:dyDescent="0.3">
      <c r="C206" s="231"/>
      <c r="D206" s="567"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568"/>
      <c r="F206" s="569"/>
      <c r="G206" s="506"/>
      <c r="H206" s="507"/>
      <c r="I206" s="508"/>
      <c r="J206" s="243" t="b">
        <v>0</v>
      </c>
      <c r="K206" s="238" t="b">
        <v>0</v>
      </c>
      <c r="L206" s="17" t="str">
        <f t="shared" si="4"/>
        <v/>
      </c>
      <c r="M206" s="10"/>
      <c r="N206" s="10"/>
      <c r="O206" s="10"/>
      <c r="P206" s="10"/>
      <c r="Q206" s="10"/>
    </row>
    <row r="207" spans="3:17" hidden="1" outlineLevel="1" x14ac:dyDescent="0.3">
      <c r="C207" s="231"/>
      <c r="D207" s="567"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568"/>
      <c r="F207" s="569"/>
      <c r="G207" s="506"/>
      <c r="H207" s="507"/>
      <c r="I207" s="508"/>
      <c r="J207" s="243" t="b">
        <v>0</v>
      </c>
      <c r="K207" s="238" t="b">
        <v>0</v>
      </c>
      <c r="L207" s="17" t="str">
        <f t="shared" si="4"/>
        <v/>
      </c>
      <c r="M207" s="10"/>
      <c r="N207" s="10"/>
      <c r="O207" s="10"/>
      <c r="P207" s="10"/>
      <c r="Q207" s="10"/>
    </row>
    <row r="208" spans="3:17" hidden="1" outlineLevel="1" x14ac:dyDescent="0.3">
      <c r="C208" s="231"/>
      <c r="D208" s="567"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568"/>
      <c r="F208" s="569"/>
      <c r="G208" s="506"/>
      <c r="H208" s="507"/>
      <c r="I208" s="508"/>
      <c r="J208" s="243" t="b">
        <v>0</v>
      </c>
      <c r="K208" s="238" t="b">
        <v>0</v>
      </c>
      <c r="L208" s="17" t="str">
        <f t="shared" si="4"/>
        <v/>
      </c>
      <c r="M208" s="10"/>
      <c r="N208" s="10"/>
      <c r="O208" s="10"/>
      <c r="P208" s="10"/>
      <c r="Q208" s="10"/>
    </row>
    <row r="209" spans="3:17" hidden="1" outlineLevel="1" x14ac:dyDescent="0.3">
      <c r="C209" s="231"/>
      <c r="D209" s="567"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568"/>
      <c r="F209" s="569"/>
      <c r="G209" s="506"/>
      <c r="H209" s="507"/>
      <c r="I209" s="508"/>
      <c r="J209" s="243" t="b">
        <v>0</v>
      </c>
      <c r="K209" s="238" t="b">
        <v>0</v>
      </c>
      <c r="L209" s="17" t="str">
        <f t="shared" si="4"/>
        <v/>
      </c>
      <c r="M209" s="10"/>
      <c r="N209" s="10"/>
      <c r="O209" s="10"/>
      <c r="P209" s="10"/>
      <c r="Q209" s="10"/>
    </row>
    <row r="210" spans="3:17" hidden="1" outlineLevel="1" x14ac:dyDescent="0.3">
      <c r="C210" s="231"/>
      <c r="D210" s="567"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568"/>
      <c r="F210" s="569"/>
      <c r="G210" s="506"/>
      <c r="H210" s="507"/>
      <c r="I210" s="508"/>
      <c r="J210" s="243" t="b">
        <v>0</v>
      </c>
      <c r="K210" s="238" t="b">
        <v>0</v>
      </c>
      <c r="L210" s="17" t="str">
        <f t="shared" si="4"/>
        <v/>
      </c>
      <c r="M210" s="10"/>
      <c r="N210" s="10"/>
      <c r="O210" s="10"/>
      <c r="P210" s="10"/>
      <c r="Q210" s="10"/>
    </row>
    <row r="211" spans="3:17" hidden="1" outlineLevel="1" x14ac:dyDescent="0.3">
      <c r="C211" s="231"/>
      <c r="D211" s="567"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568"/>
      <c r="F211" s="569"/>
      <c r="G211" s="506"/>
      <c r="H211" s="507"/>
      <c r="I211" s="508"/>
      <c r="J211" s="243" t="b">
        <v>0</v>
      </c>
      <c r="K211" s="238" t="b">
        <v>0</v>
      </c>
      <c r="L211" s="17" t="str">
        <f t="shared" si="4"/>
        <v/>
      </c>
      <c r="M211" s="10"/>
      <c r="N211" s="10"/>
      <c r="O211" s="10"/>
      <c r="P211" s="10"/>
      <c r="Q211" s="10"/>
    </row>
    <row r="212" spans="3:17" hidden="1" outlineLevel="1" x14ac:dyDescent="0.3">
      <c r="C212" s="231"/>
      <c r="D212" s="567"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568"/>
      <c r="F212" s="569"/>
      <c r="G212" s="506"/>
      <c r="H212" s="507"/>
      <c r="I212" s="508"/>
      <c r="J212" s="243" t="b">
        <v>0</v>
      </c>
      <c r="K212" s="238" t="b">
        <v>0</v>
      </c>
      <c r="L212" s="17" t="str">
        <f t="shared" si="4"/>
        <v/>
      </c>
      <c r="M212" s="10"/>
      <c r="N212" s="10"/>
      <c r="O212" s="10"/>
      <c r="P212" s="10"/>
      <c r="Q212" s="10"/>
    </row>
    <row r="213" spans="3:17" hidden="1" outlineLevel="1" x14ac:dyDescent="0.3">
      <c r="C213" s="231"/>
      <c r="D213" s="567"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568"/>
      <c r="F213" s="569"/>
      <c r="G213" s="506"/>
      <c r="H213" s="507"/>
      <c r="I213" s="508"/>
      <c r="J213" s="243" t="b">
        <v>0</v>
      </c>
      <c r="K213" s="238" t="b">
        <v>0</v>
      </c>
      <c r="L213" s="17" t="str">
        <f t="shared" si="4"/>
        <v/>
      </c>
      <c r="M213" s="10"/>
      <c r="N213" s="10"/>
      <c r="O213" s="10"/>
      <c r="P213" s="10"/>
      <c r="Q213" s="10"/>
    </row>
    <row r="214" spans="3:17" hidden="1" outlineLevel="1" x14ac:dyDescent="0.3">
      <c r="C214" s="231"/>
      <c r="D214" s="567"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568"/>
      <c r="F214" s="569"/>
      <c r="G214" s="506"/>
      <c r="H214" s="507"/>
      <c r="I214" s="508"/>
      <c r="J214" s="243" t="b">
        <v>0</v>
      </c>
      <c r="K214" s="238" t="b">
        <v>0</v>
      </c>
      <c r="L214" s="17" t="str">
        <f t="shared" si="4"/>
        <v/>
      </c>
      <c r="M214" s="10"/>
      <c r="N214" s="10"/>
      <c r="O214" s="10"/>
      <c r="P214" s="10"/>
      <c r="Q214" s="10"/>
    </row>
    <row r="215" spans="3:17" hidden="1" outlineLevel="1" x14ac:dyDescent="0.3">
      <c r="C215" s="231"/>
      <c r="D215" s="567"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568"/>
      <c r="F215" s="569"/>
      <c r="G215" s="506"/>
      <c r="H215" s="507"/>
      <c r="I215" s="508"/>
      <c r="J215" s="243" t="b">
        <v>0</v>
      </c>
      <c r="K215" s="238" t="b">
        <v>0</v>
      </c>
      <c r="L215" s="17" t="str">
        <f t="shared" si="4"/>
        <v/>
      </c>
      <c r="M215" s="10"/>
      <c r="N215" s="10"/>
      <c r="O215" s="10"/>
      <c r="P215" s="10"/>
      <c r="Q215" s="10"/>
    </row>
    <row r="216" spans="3:17" hidden="1" outlineLevel="1" x14ac:dyDescent="0.3">
      <c r="C216" s="231"/>
      <c r="D216" s="567"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568"/>
      <c r="F216" s="569"/>
      <c r="G216" s="506"/>
      <c r="H216" s="507"/>
      <c r="I216" s="508"/>
      <c r="J216" s="243" t="b">
        <v>0</v>
      </c>
      <c r="K216" s="238" t="b">
        <v>0</v>
      </c>
      <c r="L216" s="17" t="str">
        <f t="shared" si="4"/>
        <v/>
      </c>
      <c r="M216" s="10"/>
      <c r="N216" s="10"/>
      <c r="O216" s="10"/>
      <c r="P216" s="10"/>
      <c r="Q216" s="10"/>
    </row>
    <row r="217" spans="3:17" hidden="1" outlineLevel="1" x14ac:dyDescent="0.3">
      <c r="C217" s="231"/>
      <c r="D217" s="567"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568"/>
      <c r="F217" s="569"/>
      <c r="G217" s="506"/>
      <c r="H217" s="507"/>
      <c r="I217" s="508"/>
      <c r="J217" s="243" t="b">
        <v>0</v>
      </c>
      <c r="K217" s="238" t="b">
        <v>0</v>
      </c>
      <c r="L217" s="17" t="str">
        <f t="shared" si="4"/>
        <v/>
      </c>
      <c r="M217" s="10"/>
      <c r="N217" s="10"/>
      <c r="O217" s="10"/>
      <c r="P217" s="10"/>
      <c r="Q217" s="10"/>
    </row>
    <row r="218" spans="3:17" hidden="1" outlineLevel="1" x14ac:dyDescent="0.3">
      <c r="C218" s="231"/>
      <c r="D218" s="567"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568"/>
      <c r="F218" s="569"/>
      <c r="G218" s="506"/>
      <c r="H218" s="507"/>
      <c r="I218" s="508"/>
      <c r="J218" s="243" t="b">
        <v>0</v>
      </c>
      <c r="K218" s="238" t="b">
        <v>0</v>
      </c>
      <c r="L218" s="17" t="str">
        <f t="shared" si="4"/>
        <v/>
      </c>
      <c r="M218" s="10"/>
      <c r="N218" s="10"/>
      <c r="O218" s="10"/>
      <c r="P218" s="10"/>
      <c r="Q218" s="10"/>
    </row>
    <row r="219" spans="3:17" hidden="1" outlineLevel="1" x14ac:dyDescent="0.3">
      <c r="C219" s="231"/>
      <c r="D219" s="567"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568"/>
      <c r="F219" s="569"/>
      <c r="G219" s="506"/>
      <c r="H219" s="507"/>
      <c r="I219" s="508"/>
      <c r="J219" s="243" t="b">
        <v>0</v>
      </c>
      <c r="K219" s="238" t="b">
        <v>0</v>
      </c>
      <c r="L219" s="17" t="str">
        <f t="shared" si="4"/>
        <v/>
      </c>
      <c r="M219" s="10"/>
      <c r="N219" s="10"/>
      <c r="O219" s="10"/>
      <c r="P219" s="10"/>
      <c r="Q219" s="10"/>
    </row>
    <row r="220" spans="3:17" hidden="1" outlineLevel="1" x14ac:dyDescent="0.3">
      <c r="C220" s="231"/>
      <c r="D220" s="567"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568"/>
      <c r="F220" s="569"/>
      <c r="G220" s="506"/>
      <c r="H220" s="507"/>
      <c r="I220" s="508"/>
      <c r="J220" s="243" t="b">
        <v>0</v>
      </c>
      <c r="K220" s="238" t="b">
        <v>0</v>
      </c>
      <c r="L220" s="17" t="str">
        <f t="shared" si="4"/>
        <v/>
      </c>
      <c r="M220" s="10"/>
      <c r="N220" s="10"/>
      <c r="O220" s="10"/>
      <c r="P220" s="10"/>
      <c r="Q220" s="10"/>
    </row>
    <row r="221" spans="3:17" hidden="1" outlineLevel="1" x14ac:dyDescent="0.3">
      <c r="C221" s="231"/>
      <c r="D221" s="567"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568"/>
      <c r="F221" s="569"/>
      <c r="G221" s="506"/>
      <c r="H221" s="507"/>
      <c r="I221" s="508"/>
      <c r="J221" s="243" t="b">
        <v>0</v>
      </c>
      <c r="K221" s="238" t="b">
        <v>0</v>
      </c>
      <c r="L221" s="17" t="str">
        <f t="shared" si="4"/>
        <v/>
      </c>
      <c r="M221" s="10"/>
      <c r="N221" s="10"/>
      <c r="O221" s="10"/>
      <c r="P221" s="10"/>
      <c r="Q221" s="10"/>
    </row>
    <row r="222" spans="3:17" hidden="1" outlineLevel="1" x14ac:dyDescent="0.3">
      <c r="C222" s="231"/>
      <c r="D222" s="567"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568"/>
      <c r="F222" s="569"/>
      <c r="G222" s="506"/>
      <c r="H222" s="507"/>
      <c r="I222" s="508"/>
      <c r="J222" s="243" t="b">
        <v>0</v>
      </c>
      <c r="K222" s="238" t="b">
        <v>0</v>
      </c>
      <c r="L222" s="17" t="str">
        <f t="shared" si="4"/>
        <v/>
      </c>
      <c r="M222" s="10"/>
      <c r="N222" s="10"/>
      <c r="O222" s="10"/>
      <c r="P222" s="10"/>
      <c r="Q222" s="10"/>
    </row>
    <row r="223" spans="3:17" hidden="1" outlineLevel="1" x14ac:dyDescent="0.3">
      <c r="C223" s="231"/>
      <c r="D223" s="567"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568"/>
      <c r="F223" s="569"/>
      <c r="G223" s="506"/>
      <c r="H223" s="507"/>
      <c r="I223" s="508"/>
      <c r="J223" s="243" t="b">
        <v>0</v>
      </c>
      <c r="K223" s="238" t="b">
        <v>0</v>
      </c>
      <c r="L223" s="17" t="str">
        <f t="shared" si="4"/>
        <v/>
      </c>
      <c r="M223" s="10"/>
      <c r="N223" s="10"/>
      <c r="O223" s="10"/>
      <c r="P223" s="10"/>
      <c r="Q223" s="10"/>
    </row>
    <row r="224" spans="3:17" hidden="1" outlineLevel="1" x14ac:dyDescent="0.3">
      <c r="C224" s="231"/>
      <c r="D224" s="567"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568"/>
      <c r="F224" s="569"/>
      <c r="G224" s="506"/>
      <c r="H224" s="507"/>
      <c r="I224" s="508"/>
      <c r="J224" s="243" t="b">
        <v>0</v>
      </c>
      <c r="K224" s="238" t="b">
        <v>0</v>
      </c>
      <c r="L224" s="17" t="str">
        <f t="shared" si="4"/>
        <v/>
      </c>
      <c r="M224" s="10"/>
      <c r="N224" s="10"/>
      <c r="O224" s="10"/>
      <c r="P224" s="10"/>
      <c r="Q224" s="10"/>
    </row>
    <row r="225" spans="3:17" hidden="1" outlineLevel="1" x14ac:dyDescent="0.3">
      <c r="C225" s="231"/>
      <c r="D225" s="567"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568"/>
      <c r="F225" s="569"/>
      <c r="G225" s="506"/>
      <c r="H225" s="507"/>
      <c r="I225" s="508"/>
      <c r="J225" s="243" t="b">
        <v>0</v>
      </c>
      <c r="K225" s="238" t="b">
        <v>0</v>
      </c>
      <c r="L225" s="17" t="str">
        <f t="shared" si="4"/>
        <v/>
      </c>
      <c r="M225" s="10"/>
      <c r="N225" s="10"/>
      <c r="O225" s="10"/>
      <c r="P225" s="10"/>
      <c r="Q225" s="10"/>
    </row>
    <row r="226" spans="3:17" hidden="1" outlineLevel="1" x14ac:dyDescent="0.3">
      <c r="C226" s="231"/>
      <c r="D226" s="567"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568"/>
      <c r="F226" s="569"/>
      <c r="G226" s="506"/>
      <c r="H226" s="507"/>
      <c r="I226" s="508"/>
      <c r="J226" s="243" t="b">
        <v>0</v>
      </c>
      <c r="K226" s="238" t="b">
        <v>0</v>
      </c>
      <c r="L226" s="17" t="str">
        <f t="shared" si="4"/>
        <v/>
      </c>
      <c r="M226" s="10"/>
      <c r="N226" s="10"/>
      <c r="O226" s="10"/>
      <c r="P226" s="10"/>
      <c r="Q226" s="10"/>
    </row>
    <row r="227" spans="3:17" hidden="1" outlineLevel="1" x14ac:dyDescent="0.3">
      <c r="C227" s="231"/>
      <c r="D227" s="567"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568"/>
      <c r="F227" s="569"/>
      <c r="G227" s="506"/>
      <c r="H227" s="507"/>
      <c r="I227" s="508"/>
      <c r="J227" s="243" t="b">
        <v>0</v>
      </c>
      <c r="K227" s="238" t="b">
        <v>0</v>
      </c>
      <c r="L227" s="17" t="str">
        <f t="shared" si="4"/>
        <v/>
      </c>
      <c r="M227" s="10"/>
      <c r="N227" s="10"/>
      <c r="O227" s="10"/>
      <c r="P227" s="10"/>
      <c r="Q227" s="10"/>
    </row>
    <row r="228" spans="3:17" hidden="1" outlineLevel="1" x14ac:dyDescent="0.3">
      <c r="C228" s="231"/>
      <c r="D228" s="567"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568"/>
      <c r="F228" s="569"/>
      <c r="G228" s="506"/>
      <c r="H228" s="507"/>
      <c r="I228" s="508"/>
      <c r="J228" s="243" t="b">
        <v>0</v>
      </c>
      <c r="K228" s="238" t="b">
        <v>0</v>
      </c>
      <c r="L228" s="17" t="str">
        <f t="shared" si="4"/>
        <v/>
      </c>
      <c r="M228" s="10"/>
      <c r="N228" s="10"/>
      <c r="O228" s="10"/>
      <c r="P228" s="10"/>
      <c r="Q228" s="10"/>
    </row>
    <row r="229" spans="3:17" hidden="1" outlineLevel="1" x14ac:dyDescent="0.3">
      <c r="C229" s="231"/>
      <c r="D229" s="567"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568"/>
      <c r="F229" s="569"/>
      <c r="G229" s="506"/>
      <c r="H229" s="507"/>
      <c r="I229" s="508"/>
      <c r="J229" s="243" t="b">
        <v>0</v>
      </c>
      <c r="K229" s="238" t="b">
        <v>0</v>
      </c>
      <c r="L229" s="17" t="str">
        <f t="shared" si="4"/>
        <v/>
      </c>
      <c r="M229" s="10"/>
      <c r="N229" s="10"/>
      <c r="O229" s="10"/>
      <c r="P229" s="10"/>
      <c r="Q229" s="10"/>
    </row>
    <row r="230" spans="3:17" hidden="1" outlineLevel="1" x14ac:dyDescent="0.3">
      <c r="C230" s="231"/>
      <c r="D230" s="567"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568"/>
      <c r="F230" s="569"/>
      <c r="G230" s="506"/>
      <c r="H230" s="507"/>
      <c r="I230" s="508"/>
      <c r="J230" s="243" t="b">
        <v>0</v>
      </c>
      <c r="K230" s="238" t="b">
        <v>0</v>
      </c>
      <c r="L230" s="17" t="str">
        <f t="shared" si="4"/>
        <v/>
      </c>
      <c r="M230" s="10"/>
      <c r="N230" s="10"/>
      <c r="O230" s="10"/>
      <c r="P230" s="10"/>
      <c r="Q230" s="10"/>
    </row>
    <row r="231" spans="3:17" hidden="1" outlineLevel="1" x14ac:dyDescent="0.3">
      <c r="C231" s="231"/>
      <c r="D231" s="567"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568"/>
      <c r="F231" s="569"/>
      <c r="G231" s="506"/>
      <c r="H231" s="507"/>
      <c r="I231" s="508"/>
      <c r="J231" s="243" t="b">
        <v>0</v>
      </c>
      <c r="K231" s="238" t="b">
        <v>0</v>
      </c>
      <c r="L231" s="17" t="str">
        <f t="shared" si="4"/>
        <v/>
      </c>
      <c r="M231" s="10"/>
      <c r="N231" s="10"/>
      <c r="O231" s="10"/>
      <c r="P231" s="10"/>
      <c r="Q231" s="10"/>
    </row>
    <row r="232" spans="3:17" hidden="1" outlineLevel="1" x14ac:dyDescent="0.3">
      <c r="C232" s="231"/>
      <c r="D232" s="567"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568"/>
      <c r="F232" s="569"/>
      <c r="G232" s="506"/>
      <c r="H232" s="507"/>
      <c r="I232" s="508"/>
      <c r="J232" s="243" t="b">
        <v>0</v>
      </c>
      <c r="K232" s="238" t="b">
        <v>0</v>
      </c>
      <c r="L232" s="17" t="str">
        <f t="shared" si="4"/>
        <v/>
      </c>
      <c r="M232" s="10"/>
      <c r="N232" s="10"/>
      <c r="O232" s="10"/>
      <c r="P232" s="10"/>
      <c r="Q232" s="10"/>
    </row>
    <row r="233" spans="3:17" hidden="1" outlineLevel="1" x14ac:dyDescent="0.3">
      <c r="C233" s="231"/>
      <c r="D233" s="567"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568"/>
      <c r="F233" s="569"/>
      <c r="G233" s="506"/>
      <c r="H233" s="507"/>
      <c r="I233" s="508"/>
      <c r="J233" s="243" t="b">
        <v>0</v>
      </c>
      <c r="K233" s="238" t="b">
        <v>0</v>
      </c>
      <c r="L233" s="17" t="str">
        <f t="shared" si="4"/>
        <v/>
      </c>
      <c r="M233" s="10"/>
      <c r="N233" s="10"/>
      <c r="O233" s="10"/>
      <c r="P233" s="10"/>
      <c r="Q233" s="10"/>
    </row>
    <row r="234" spans="3:17" hidden="1" outlineLevel="1" x14ac:dyDescent="0.3">
      <c r="C234" s="231"/>
      <c r="D234" s="567"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568"/>
      <c r="F234" s="569"/>
      <c r="G234" s="506"/>
      <c r="H234" s="507"/>
      <c r="I234" s="508"/>
      <c r="J234" s="243" t="b">
        <v>0</v>
      </c>
      <c r="K234" s="238" t="b">
        <v>0</v>
      </c>
      <c r="L234" s="17" t="str">
        <f t="shared" si="4"/>
        <v/>
      </c>
      <c r="M234" s="10"/>
      <c r="N234" s="10"/>
      <c r="O234" s="10"/>
      <c r="P234" s="10"/>
      <c r="Q234" s="10"/>
    </row>
    <row r="235" spans="3:17" hidden="1" outlineLevel="1" x14ac:dyDescent="0.3">
      <c r="C235" s="231"/>
      <c r="D235" s="567"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568"/>
      <c r="F235" s="569"/>
      <c r="G235" s="506"/>
      <c r="H235" s="507"/>
      <c r="I235" s="508"/>
      <c r="J235" s="243" t="b">
        <v>0</v>
      </c>
      <c r="K235" s="238" t="b">
        <v>0</v>
      </c>
      <c r="L235" s="17" t="str">
        <f t="shared" si="4"/>
        <v/>
      </c>
      <c r="M235" s="10"/>
      <c r="N235" s="10"/>
      <c r="O235" s="10"/>
      <c r="P235" s="10"/>
      <c r="Q235" s="10"/>
    </row>
    <row r="236" spans="3:17" hidden="1" outlineLevel="1" x14ac:dyDescent="0.3">
      <c r="C236" s="231"/>
      <c r="D236" s="567"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568"/>
      <c r="F236" s="569"/>
      <c r="G236" s="506"/>
      <c r="H236" s="507"/>
      <c r="I236" s="508"/>
      <c r="J236" s="243" t="b">
        <v>0</v>
      </c>
      <c r="K236" s="238" t="b">
        <v>0</v>
      </c>
      <c r="L236" s="17" t="str">
        <f t="shared" si="4"/>
        <v/>
      </c>
      <c r="M236" s="10"/>
      <c r="N236" s="10"/>
      <c r="O236" s="10"/>
      <c r="P236" s="10"/>
      <c r="Q236" s="10"/>
    </row>
    <row r="237" spans="3:17" hidden="1" outlineLevel="1" x14ac:dyDescent="0.3">
      <c r="C237" s="231"/>
      <c r="D237" s="567"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568"/>
      <c r="F237" s="569"/>
      <c r="G237" s="506"/>
      <c r="H237" s="507"/>
      <c r="I237" s="508"/>
      <c r="J237" s="243" t="b">
        <v>0</v>
      </c>
      <c r="K237" s="238" t="b">
        <v>0</v>
      </c>
      <c r="L237" s="17" t="str">
        <f t="shared" si="4"/>
        <v/>
      </c>
      <c r="M237" s="10"/>
      <c r="N237" s="10"/>
      <c r="O237" s="10"/>
      <c r="P237" s="10"/>
      <c r="Q237" s="10"/>
    </row>
    <row r="238" spans="3:17" hidden="1" outlineLevel="1" x14ac:dyDescent="0.3">
      <c r="C238" s="231"/>
      <c r="D238" s="567"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568"/>
      <c r="F238" s="569"/>
      <c r="G238" s="506"/>
      <c r="H238" s="507"/>
      <c r="I238" s="508"/>
      <c r="J238" s="243" t="b">
        <v>0</v>
      </c>
      <c r="K238" s="238" t="b">
        <v>0</v>
      </c>
      <c r="L238" s="17" t="str">
        <f t="shared" si="4"/>
        <v/>
      </c>
      <c r="M238" s="10"/>
      <c r="N238" s="10"/>
      <c r="O238" s="10"/>
      <c r="P238" s="10"/>
      <c r="Q238" s="10"/>
    </row>
    <row r="239" spans="3:17" hidden="1" outlineLevel="1" x14ac:dyDescent="0.3">
      <c r="C239" s="231"/>
      <c r="D239" s="567"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568"/>
      <c r="F239" s="569"/>
      <c r="G239" s="506"/>
      <c r="H239" s="507"/>
      <c r="I239" s="508"/>
      <c r="J239" s="243" t="b">
        <v>0</v>
      </c>
      <c r="K239" s="238" t="b">
        <v>0</v>
      </c>
      <c r="L239" s="17" t="str">
        <f t="shared" si="4"/>
        <v/>
      </c>
      <c r="M239" s="10"/>
      <c r="N239" s="10"/>
      <c r="O239" s="10"/>
      <c r="P239" s="10"/>
      <c r="Q239" s="10"/>
    </row>
    <row r="240" spans="3:17" hidden="1" outlineLevel="1" x14ac:dyDescent="0.3">
      <c r="C240" s="231"/>
      <c r="D240" s="567"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568"/>
      <c r="F240" s="569"/>
      <c r="G240" s="506"/>
      <c r="H240" s="507"/>
      <c r="I240" s="508"/>
      <c r="J240" s="243" t="b">
        <v>0</v>
      </c>
      <c r="K240" s="238" t="b">
        <v>0</v>
      </c>
      <c r="L240" s="17" t="str">
        <f t="shared" si="4"/>
        <v/>
      </c>
      <c r="M240" s="10"/>
      <c r="N240" s="10"/>
      <c r="O240" s="10"/>
      <c r="P240" s="10"/>
      <c r="Q240" s="10"/>
    </row>
    <row r="241" spans="3:17" hidden="1" outlineLevel="1" x14ac:dyDescent="0.3">
      <c r="C241" s="231"/>
      <c r="D241" s="567"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568"/>
      <c r="F241" s="569"/>
      <c r="G241" s="506"/>
      <c r="H241" s="507"/>
      <c r="I241" s="508"/>
      <c r="J241" s="243" t="b">
        <v>0</v>
      </c>
      <c r="K241" s="238" t="b">
        <v>0</v>
      </c>
      <c r="L241" s="17" t="str">
        <f t="shared" si="4"/>
        <v/>
      </c>
      <c r="M241" s="10"/>
      <c r="N241" s="10"/>
      <c r="O241" s="10"/>
      <c r="P241" s="10"/>
      <c r="Q241" s="10"/>
    </row>
    <row r="242" spans="3:17" hidden="1" outlineLevel="1" x14ac:dyDescent="0.3">
      <c r="C242" s="231"/>
      <c r="D242" s="567"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568"/>
      <c r="F242" s="569"/>
      <c r="G242" s="506"/>
      <c r="H242" s="507"/>
      <c r="I242" s="508"/>
      <c r="J242" s="243" t="b">
        <v>0</v>
      </c>
      <c r="K242" s="238" t="b">
        <v>0</v>
      </c>
      <c r="L242" s="17" t="str">
        <f t="shared" si="4"/>
        <v/>
      </c>
      <c r="M242" s="10"/>
      <c r="N242" s="10"/>
      <c r="O242" s="10"/>
      <c r="P242" s="10"/>
      <c r="Q242" s="10"/>
    </row>
    <row r="243" spans="3:17" hidden="1" outlineLevel="1" x14ac:dyDescent="0.3">
      <c r="C243" s="231"/>
      <c r="D243" s="567"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568"/>
      <c r="F243" s="569"/>
      <c r="G243" s="506"/>
      <c r="H243" s="507"/>
      <c r="I243" s="508"/>
      <c r="J243" s="243" t="b">
        <v>0</v>
      </c>
      <c r="K243" s="238" t="b">
        <v>0</v>
      </c>
      <c r="L243" s="17" t="str">
        <f t="shared" si="4"/>
        <v/>
      </c>
      <c r="M243" s="10"/>
      <c r="N243" s="10"/>
      <c r="O243" s="10"/>
      <c r="P243" s="10"/>
      <c r="Q243" s="10"/>
    </row>
    <row r="244" spans="3:17" hidden="1" outlineLevel="1" x14ac:dyDescent="0.3">
      <c r="C244" s="231"/>
      <c r="D244" s="567"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568"/>
      <c r="F244" s="569"/>
      <c r="G244" s="506"/>
      <c r="H244" s="507"/>
      <c r="I244" s="508"/>
      <c r="J244" s="243" t="b">
        <v>0</v>
      </c>
      <c r="K244" s="238" t="b">
        <v>0</v>
      </c>
      <c r="L244" s="17" t="str">
        <f t="shared" si="4"/>
        <v/>
      </c>
      <c r="M244" s="10"/>
      <c r="N244" s="10"/>
      <c r="O244" s="10"/>
      <c r="P244" s="10"/>
      <c r="Q244" s="10"/>
    </row>
    <row r="245" spans="3:17" hidden="1" outlineLevel="1" x14ac:dyDescent="0.3">
      <c r="C245" s="231"/>
      <c r="D245" s="567"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568"/>
      <c r="F245" s="569"/>
      <c r="G245" s="506"/>
      <c r="H245" s="507"/>
      <c r="I245" s="508"/>
      <c r="J245" s="243" t="b">
        <v>0</v>
      </c>
      <c r="K245" s="238" t="b">
        <v>0</v>
      </c>
      <c r="L245" s="17" t="str">
        <f t="shared" si="4"/>
        <v/>
      </c>
      <c r="M245" s="10"/>
      <c r="N245" s="10"/>
      <c r="O245" s="10"/>
      <c r="P245" s="10"/>
      <c r="Q245" s="10"/>
    </row>
    <row r="246" spans="3:17" hidden="1" outlineLevel="1" x14ac:dyDescent="0.3">
      <c r="C246" s="231"/>
      <c r="D246" s="567"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568"/>
      <c r="F246" s="569"/>
      <c r="G246" s="506"/>
      <c r="H246" s="507"/>
      <c r="I246" s="508"/>
      <c r="J246" s="243" t="b">
        <v>0</v>
      </c>
      <c r="K246" s="238" t="b">
        <v>0</v>
      </c>
      <c r="L246" s="17" t="str">
        <f t="shared" si="4"/>
        <v/>
      </c>
      <c r="M246" s="10"/>
      <c r="N246" s="10"/>
      <c r="O246" s="10"/>
      <c r="P246" s="10"/>
      <c r="Q246" s="10"/>
    </row>
    <row r="247" spans="3:17" hidden="1" outlineLevel="1" x14ac:dyDescent="0.3">
      <c r="C247" s="231"/>
      <c r="D247" s="567"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568"/>
      <c r="F247" s="569"/>
      <c r="G247" s="506"/>
      <c r="H247" s="507"/>
      <c r="I247" s="508"/>
      <c r="J247" s="243" t="b">
        <v>0</v>
      </c>
      <c r="K247" s="238" t="b">
        <v>0</v>
      </c>
      <c r="L247" s="17" t="str">
        <f t="shared" si="4"/>
        <v/>
      </c>
      <c r="M247" s="10"/>
      <c r="N247" s="10"/>
      <c r="O247" s="10"/>
      <c r="P247" s="10"/>
      <c r="Q247" s="10"/>
    </row>
    <row r="248" spans="3:17" hidden="1" outlineLevel="1" x14ac:dyDescent="0.3">
      <c r="C248" s="231"/>
      <c r="D248" s="567"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568"/>
      <c r="F248" s="569"/>
      <c r="G248" s="506"/>
      <c r="H248" s="507"/>
      <c r="I248" s="508"/>
      <c r="J248" s="243" t="b">
        <v>0</v>
      </c>
      <c r="K248" s="238" t="b">
        <v>0</v>
      </c>
      <c r="L248" s="17" t="str">
        <f t="shared" si="4"/>
        <v/>
      </c>
      <c r="M248" s="10"/>
      <c r="N248" s="10"/>
      <c r="O248" s="10"/>
      <c r="P248" s="10"/>
      <c r="Q248" s="10"/>
    </row>
    <row r="249" spans="3:17" hidden="1" outlineLevel="1" x14ac:dyDescent="0.3">
      <c r="C249" s="231"/>
      <c r="D249" s="567"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568"/>
      <c r="F249" s="569"/>
      <c r="G249" s="506"/>
      <c r="H249" s="507"/>
      <c r="I249" s="508"/>
      <c r="J249" s="243" t="b">
        <v>0</v>
      </c>
      <c r="K249" s="238" t="b">
        <v>0</v>
      </c>
      <c r="L249" s="17" t="str">
        <f t="shared" si="4"/>
        <v/>
      </c>
      <c r="M249" s="10"/>
      <c r="N249" s="10"/>
      <c r="O249" s="10"/>
      <c r="P249" s="10"/>
      <c r="Q249" s="10"/>
    </row>
    <row r="250" spans="3:17" hidden="1" outlineLevel="1" x14ac:dyDescent="0.3">
      <c r="C250" s="231"/>
      <c r="D250" s="567"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568"/>
      <c r="F250" s="569"/>
      <c r="G250" s="506"/>
      <c r="H250" s="507"/>
      <c r="I250" s="508"/>
      <c r="J250" s="243" t="b">
        <v>0</v>
      </c>
      <c r="K250" s="238" t="b">
        <v>0</v>
      </c>
      <c r="L250" s="17" t="str">
        <f t="shared" si="4"/>
        <v/>
      </c>
      <c r="M250" s="10"/>
      <c r="N250" s="10"/>
      <c r="O250" s="10"/>
      <c r="P250" s="10"/>
      <c r="Q250" s="10"/>
    </row>
    <row r="251" spans="3:17" hidden="1" outlineLevel="1" x14ac:dyDescent="0.3">
      <c r="C251" s="231"/>
      <c r="D251" s="567"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568"/>
      <c r="F251" s="569"/>
      <c r="G251" s="506"/>
      <c r="H251" s="507"/>
      <c r="I251" s="508"/>
      <c r="J251" s="243" t="b">
        <v>0</v>
      </c>
      <c r="K251" s="238" t="b">
        <v>0</v>
      </c>
      <c r="L251" s="17" t="str">
        <f t="shared" si="4"/>
        <v/>
      </c>
      <c r="M251" s="10"/>
      <c r="N251" s="10"/>
      <c r="O251" s="10"/>
      <c r="P251" s="10"/>
      <c r="Q251" s="10"/>
    </row>
    <row r="252" spans="3:17" hidden="1" outlineLevel="1" x14ac:dyDescent="0.3">
      <c r="C252" s="231"/>
      <c r="D252" s="567"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568"/>
      <c r="F252" s="569"/>
      <c r="G252" s="506"/>
      <c r="H252" s="507"/>
      <c r="I252" s="508"/>
      <c r="J252" s="243" t="b">
        <v>0</v>
      </c>
      <c r="K252" s="238" t="b">
        <v>0</v>
      </c>
      <c r="L252" s="17" t="str">
        <f t="shared" si="4"/>
        <v/>
      </c>
      <c r="M252" s="10"/>
      <c r="N252" s="10"/>
      <c r="O252" s="10"/>
      <c r="P252" s="10"/>
      <c r="Q252" s="10"/>
    </row>
    <row r="253" spans="3:17" hidden="1" outlineLevel="1" x14ac:dyDescent="0.3">
      <c r="C253" s="231"/>
      <c r="D253" s="567"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568"/>
      <c r="F253" s="569"/>
      <c r="G253" s="506"/>
      <c r="H253" s="507"/>
      <c r="I253" s="508"/>
      <c r="J253" s="243" t="b">
        <v>0</v>
      </c>
      <c r="K253" s="238" t="b">
        <v>0</v>
      </c>
      <c r="L253" s="17" t="str">
        <f t="shared" si="4"/>
        <v/>
      </c>
      <c r="M253" s="10"/>
      <c r="N253" s="10"/>
      <c r="O253" s="10"/>
      <c r="P253" s="10"/>
      <c r="Q253" s="10"/>
    </row>
    <row r="254" spans="3:17" hidden="1" outlineLevel="1" x14ac:dyDescent="0.3">
      <c r="C254" s="231"/>
      <c r="D254" s="567"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568"/>
      <c r="F254" s="569"/>
      <c r="G254" s="506"/>
      <c r="H254" s="507"/>
      <c r="I254" s="508"/>
      <c r="J254" s="243" t="b">
        <v>0</v>
      </c>
      <c r="K254" s="238" t="b">
        <v>0</v>
      </c>
      <c r="L254" s="17" t="str">
        <f t="shared" si="4"/>
        <v/>
      </c>
      <c r="M254" s="10"/>
      <c r="N254" s="10"/>
      <c r="O254" s="10"/>
      <c r="P254" s="10"/>
      <c r="Q254" s="10"/>
    </row>
    <row r="255" spans="3:17" hidden="1" outlineLevel="1" x14ac:dyDescent="0.3">
      <c r="C255" s="231"/>
      <c r="D255" s="567"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568"/>
      <c r="F255" s="569"/>
      <c r="G255" s="506"/>
      <c r="H255" s="507"/>
      <c r="I255" s="508"/>
      <c r="J255" s="243" t="b">
        <v>0</v>
      </c>
      <c r="K255" s="238" t="b">
        <v>0</v>
      </c>
      <c r="L255" s="17" t="str">
        <f t="shared" si="4"/>
        <v/>
      </c>
      <c r="M255" s="10"/>
      <c r="N255" s="10"/>
      <c r="O255" s="10"/>
      <c r="P255" s="10"/>
      <c r="Q255" s="10"/>
    </row>
    <row r="256" spans="3:17" hidden="1" outlineLevel="1" x14ac:dyDescent="0.3">
      <c r="C256" s="231"/>
      <c r="D256" s="567"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568"/>
      <c r="F256" s="569"/>
      <c r="G256" s="506"/>
      <c r="H256" s="507"/>
      <c r="I256" s="508"/>
      <c r="J256" s="243" t="b">
        <v>0</v>
      </c>
      <c r="K256" s="238" t="b">
        <v>0</v>
      </c>
      <c r="L256" s="17" t="str">
        <f t="shared" si="4"/>
        <v/>
      </c>
      <c r="M256" s="10"/>
      <c r="N256" s="10"/>
      <c r="O256" s="10"/>
      <c r="P256" s="10"/>
      <c r="Q256" s="10"/>
    </row>
    <row r="257" spans="3:17" hidden="1" outlineLevel="1" x14ac:dyDescent="0.3">
      <c r="C257" s="231"/>
      <c r="D257" s="567"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568"/>
      <c r="F257" s="569"/>
      <c r="G257" s="506"/>
      <c r="H257" s="507"/>
      <c r="I257" s="508"/>
      <c r="J257" s="243" t="b">
        <v>0</v>
      </c>
      <c r="K257" s="238" t="b">
        <v>0</v>
      </c>
      <c r="L257" s="17" t="str">
        <f t="shared" si="4"/>
        <v/>
      </c>
      <c r="M257" s="10"/>
      <c r="N257" s="10"/>
      <c r="O257" s="10"/>
      <c r="P257" s="10"/>
      <c r="Q257" s="10"/>
    </row>
    <row r="258" spans="3:17" hidden="1" outlineLevel="1" x14ac:dyDescent="0.3">
      <c r="C258" s="231"/>
      <c r="D258" s="567"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568"/>
      <c r="F258" s="569"/>
      <c r="G258" s="506"/>
      <c r="H258" s="507"/>
      <c r="I258" s="508"/>
      <c r="J258" s="243" t="b">
        <v>0</v>
      </c>
      <c r="K258" s="238" t="b">
        <v>0</v>
      </c>
      <c r="L258" s="17" t="str">
        <f t="shared" si="4"/>
        <v/>
      </c>
      <c r="M258" s="10"/>
      <c r="N258" s="10"/>
      <c r="O258" s="10"/>
      <c r="P258" s="10"/>
      <c r="Q258" s="10"/>
    </row>
    <row r="259" spans="3:17" hidden="1" outlineLevel="1" x14ac:dyDescent="0.3">
      <c r="C259" s="231"/>
      <c r="D259" s="567"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568"/>
      <c r="F259" s="569"/>
      <c r="G259" s="506"/>
      <c r="H259" s="507"/>
      <c r="I259" s="508"/>
      <c r="J259" s="243" t="b">
        <v>0</v>
      </c>
      <c r="K259" s="238" t="b">
        <v>0</v>
      </c>
      <c r="L259" s="17" t="str">
        <f t="shared" si="4"/>
        <v/>
      </c>
      <c r="M259" s="10"/>
      <c r="N259" s="10"/>
      <c r="O259" s="10"/>
      <c r="P259" s="10"/>
      <c r="Q259" s="10"/>
    </row>
    <row r="260" spans="3:17" hidden="1" outlineLevel="1" x14ac:dyDescent="0.3">
      <c r="C260" s="231"/>
      <c r="D260" s="567"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568"/>
      <c r="F260" s="569"/>
      <c r="G260" s="506"/>
      <c r="H260" s="507"/>
      <c r="I260" s="508"/>
      <c r="J260" s="243" t="b">
        <v>0</v>
      </c>
      <c r="K260" s="238" t="b">
        <v>0</v>
      </c>
      <c r="L260" s="17" t="str">
        <f t="shared" si="4"/>
        <v/>
      </c>
      <c r="M260" s="10"/>
      <c r="N260" s="10"/>
      <c r="O260" s="10"/>
      <c r="P260" s="10"/>
      <c r="Q260" s="10"/>
    </row>
    <row r="261" spans="3:17" hidden="1" outlineLevel="1" x14ac:dyDescent="0.3">
      <c r="C261" s="231"/>
      <c r="D261" s="567"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568"/>
      <c r="F261" s="569"/>
      <c r="G261" s="506"/>
      <c r="H261" s="507"/>
      <c r="I261" s="508"/>
      <c r="J261" s="243" t="b">
        <v>0</v>
      </c>
      <c r="K261" s="238" t="b">
        <v>0</v>
      </c>
      <c r="L261" s="17" t="str">
        <f t="shared" si="4"/>
        <v/>
      </c>
      <c r="M261" s="10"/>
      <c r="N261" s="10"/>
      <c r="O261" s="10"/>
      <c r="P261" s="10"/>
      <c r="Q261" s="10"/>
    </row>
    <row r="262" spans="3:17" hidden="1" outlineLevel="1" x14ac:dyDescent="0.3">
      <c r="C262" s="231"/>
      <c r="D262" s="567"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568"/>
      <c r="F262" s="569"/>
      <c r="G262" s="506"/>
      <c r="H262" s="507"/>
      <c r="I262" s="508"/>
      <c r="J262" s="243" t="b">
        <v>0</v>
      </c>
      <c r="K262" s="238" t="b">
        <v>0</v>
      </c>
      <c r="L262" s="17" t="str">
        <f t="shared" si="4"/>
        <v/>
      </c>
      <c r="M262" s="10"/>
      <c r="N262" s="10"/>
      <c r="O262" s="10"/>
      <c r="P262" s="10"/>
      <c r="Q262" s="10"/>
    </row>
    <row r="263" spans="3:17" hidden="1" outlineLevel="1" x14ac:dyDescent="0.3">
      <c r="C263" s="231"/>
      <c r="D263" s="567"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568"/>
      <c r="F263" s="569"/>
      <c r="G263" s="506"/>
      <c r="H263" s="507"/>
      <c r="I263" s="508"/>
      <c r="J263" s="243" t="b">
        <v>0</v>
      </c>
      <c r="K263" s="238" t="b">
        <v>0</v>
      </c>
      <c r="L263" s="17" t="str">
        <f t="shared" si="4"/>
        <v/>
      </c>
      <c r="M263" s="10"/>
      <c r="N263" s="10"/>
      <c r="O263" s="10"/>
      <c r="P263" s="10"/>
      <c r="Q263" s="10"/>
    </row>
    <row r="264" spans="3:17" hidden="1" outlineLevel="1" x14ac:dyDescent="0.3">
      <c r="C264" s="231"/>
      <c r="D264" s="567"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568"/>
      <c r="F264" s="569"/>
      <c r="G264" s="506"/>
      <c r="H264" s="507"/>
      <c r="I264" s="508"/>
      <c r="J264" s="243" t="b">
        <v>0</v>
      </c>
      <c r="K264" s="238" t="b">
        <v>0</v>
      </c>
      <c r="L264" s="17" t="str">
        <f t="shared" si="4"/>
        <v/>
      </c>
      <c r="M264" s="10"/>
      <c r="N264" s="10"/>
      <c r="O264" s="10"/>
      <c r="P264" s="10"/>
      <c r="Q264" s="10"/>
    </row>
    <row r="265" spans="3:17" hidden="1" outlineLevel="1" x14ac:dyDescent="0.3">
      <c r="C265" s="231"/>
      <c r="D265" s="567"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568"/>
      <c r="F265" s="569"/>
      <c r="G265" s="506"/>
      <c r="H265" s="507"/>
      <c r="I265" s="508"/>
      <c r="J265" s="243" t="b">
        <v>0</v>
      </c>
      <c r="K265" s="238" t="b">
        <v>0</v>
      </c>
      <c r="L265" s="17" t="str">
        <f t="shared" si="4"/>
        <v/>
      </c>
      <c r="M265" s="10"/>
      <c r="N265" s="10"/>
      <c r="O265" s="10"/>
      <c r="P265" s="10"/>
      <c r="Q265" s="10"/>
    </row>
    <row r="266" spans="3:17" hidden="1" outlineLevel="1" x14ac:dyDescent="0.3">
      <c r="C266" s="231"/>
      <c r="D266" s="567"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568"/>
      <c r="F266" s="569"/>
      <c r="G266" s="506"/>
      <c r="H266" s="507"/>
      <c r="I266" s="508"/>
      <c r="J266" s="243" t="b">
        <v>0</v>
      </c>
      <c r="K266" s="238" t="b">
        <v>0</v>
      </c>
      <c r="L266" s="17" t="str">
        <f t="shared" si="4"/>
        <v/>
      </c>
      <c r="M266" s="10"/>
      <c r="N266" s="10"/>
      <c r="O266" s="10"/>
      <c r="P266" s="10"/>
      <c r="Q266" s="10"/>
    </row>
    <row r="267" spans="3:17" hidden="1" outlineLevel="1" x14ac:dyDescent="0.3">
      <c r="C267" s="231"/>
      <c r="D267" s="567"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568"/>
      <c r="F267" s="569"/>
      <c r="G267" s="506"/>
      <c r="H267" s="507"/>
      <c r="I267" s="508"/>
      <c r="J267" s="243" t="b">
        <v>0</v>
      </c>
      <c r="K267" s="238" t="b">
        <v>0</v>
      </c>
      <c r="L267" s="17" t="str">
        <f t="shared" si="4"/>
        <v/>
      </c>
      <c r="M267" s="10"/>
      <c r="N267" s="10"/>
      <c r="O267" s="10"/>
      <c r="P267" s="10"/>
      <c r="Q267" s="10"/>
    </row>
    <row r="268" spans="3:17" hidden="1" outlineLevel="1" x14ac:dyDescent="0.3">
      <c r="C268" s="231"/>
      <c r="D268" s="567"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568"/>
      <c r="F268" s="569"/>
      <c r="G268" s="506"/>
      <c r="H268" s="507"/>
      <c r="I268" s="508"/>
      <c r="J268" s="243" t="b">
        <v>0</v>
      </c>
      <c r="K268" s="238" t="b">
        <v>0</v>
      </c>
      <c r="L268" s="17" t="str">
        <f t="shared" si="4"/>
        <v/>
      </c>
      <c r="M268" s="10"/>
      <c r="N268" s="10"/>
      <c r="O268" s="10"/>
      <c r="P268" s="10"/>
      <c r="Q268" s="10"/>
    </row>
    <row r="269" spans="3:17" hidden="1" outlineLevel="1" x14ac:dyDescent="0.3">
      <c r="C269" s="231"/>
      <c r="D269" s="567"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568"/>
      <c r="F269" s="569"/>
      <c r="G269" s="506"/>
      <c r="H269" s="507"/>
      <c r="I269" s="508"/>
      <c r="J269" s="243" t="b">
        <v>0</v>
      </c>
      <c r="K269" s="238" t="b">
        <v>0</v>
      </c>
      <c r="L269" s="17" t="str">
        <f t="shared" si="4"/>
        <v/>
      </c>
      <c r="M269" s="10"/>
      <c r="N269" s="10"/>
      <c r="O269" s="10"/>
      <c r="P269" s="10"/>
      <c r="Q269" s="10"/>
    </row>
    <row r="270" spans="3:17" hidden="1" outlineLevel="1" x14ac:dyDescent="0.3">
      <c r="C270" s="231"/>
      <c r="D270" s="567"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568"/>
      <c r="F270" s="569"/>
      <c r="G270" s="506"/>
      <c r="H270" s="507"/>
      <c r="I270" s="508"/>
      <c r="J270" s="243" t="b">
        <v>0</v>
      </c>
      <c r="K270" s="238" t="b">
        <v>0</v>
      </c>
      <c r="L270" s="17" t="str">
        <f t="shared" si="4"/>
        <v/>
      </c>
      <c r="M270" s="10"/>
      <c r="N270" s="10"/>
      <c r="O270" s="10"/>
      <c r="P270" s="10"/>
      <c r="Q270" s="10"/>
    </row>
    <row r="271" spans="3:17" hidden="1" outlineLevel="1" x14ac:dyDescent="0.3">
      <c r="C271" s="231"/>
      <c r="D271" s="567"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568"/>
      <c r="F271" s="569"/>
      <c r="G271" s="506"/>
      <c r="H271" s="507"/>
      <c r="I271" s="508"/>
      <c r="J271" s="243" t="b">
        <v>0</v>
      </c>
      <c r="K271" s="238" t="b">
        <v>0</v>
      </c>
      <c r="L271" s="17" t="str">
        <f t="shared" si="4"/>
        <v/>
      </c>
      <c r="M271" s="10"/>
      <c r="N271" s="10"/>
      <c r="O271" s="10"/>
      <c r="P271" s="10"/>
      <c r="Q271" s="10"/>
    </row>
    <row r="272" spans="3:17" hidden="1" outlineLevel="1" x14ac:dyDescent="0.3">
      <c r="C272" s="231"/>
      <c r="D272" s="567"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568"/>
      <c r="F272" s="569"/>
      <c r="G272" s="506"/>
      <c r="H272" s="507"/>
      <c r="I272" s="508"/>
      <c r="J272" s="243" t="b">
        <v>0</v>
      </c>
      <c r="K272" s="238" t="b">
        <v>0</v>
      </c>
      <c r="L272" s="17" t="str">
        <f t="shared" si="4"/>
        <v/>
      </c>
      <c r="M272" s="10"/>
      <c r="N272" s="10"/>
      <c r="O272" s="10"/>
      <c r="P272" s="10"/>
      <c r="Q272" s="10"/>
    </row>
    <row r="273" spans="3:17" hidden="1" outlineLevel="1" x14ac:dyDescent="0.3">
      <c r="C273" s="231"/>
      <c r="D273" s="567"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568"/>
      <c r="F273" s="569"/>
      <c r="G273" s="506"/>
      <c r="H273" s="507"/>
      <c r="I273" s="508"/>
      <c r="J273" s="243" t="b">
        <v>0</v>
      </c>
      <c r="K273" s="238" t="b">
        <v>0</v>
      </c>
      <c r="L273" s="17" t="str">
        <f t="shared" si="4"/>
        <v/>
      </c>
      <c r="M273" s="10"/>
      <c r="N273" s="10"/>
      <c r="O273" s="10"/>
      <c r="P273" s="10"/>
      <c r="Q273" s="10"/>
    </row>
    <row r="274" spans="3:17" hidden="1" outlineLevel="1" x14ac:dyDescent="0.3">
      <c r="C274" s="231"/>
      <c r="D274" s="567"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568"/>
      <c r="F274" s="569"/>
      <c r="G274" s="506"/>
      <c r="H274" s="507"/>
      <c r="I274" s="508"/>
      <c r="J274" s="243" t="b">
        <v>0</v>
      </c>
      <c r="K274" s="238" t="b">
        <v>0</v>
      </c>
      <c r="L274" s="17" t="str">
        <f t="shared" si="4"/>
        <v/>
      </c>
      <c r="M274" s="10"/>
      <c r="N274" s="10"/>
      <c r="O274" s="10"/>
      <c r="P274" s="10"/>
      <c r="Q274" s="10"/>
    </row>
    <row r="275" spans="3:17" hidden="1" outlineLevel="1" x14ac:dyDescent="0.3">
      <c r="C275" s="231"/>
      <c r="D275" s="567"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568"/>
      <c r="F275" s="569"/>
      <c r="G275" s="506"/>
      <c r="H275" s="507"/>
      <c r="I275" s="508"/>
      <c r="J275" s="243" t="b">
        <v>0</v>
      </c>
      <c r="K275" s="238" t="b">
        <v>0</v>
      </c>
      <c r="L275" s="17" t="str">
        <f t="shared" si="4"/>
        <v/>
      </c>
      <c r="M275" s="10"/>
      <c r="N275" s="10"/>
      <c r="O275" s="10"/>
      <c r="P275" s="10"/>
      <c r="Q275" s="10"/>
    </row>
    <row r="276" spans="3:17" hidden="1" outlineLevel="1" x14ac:dyDescent="0.3">
      <c r="C276" s="231"/>
      <c r="D276" s="567"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568"/>
      <c r="F276" s="569"/>
      <c r="G276" s="506"/>
      <c r="H276" s="507"/>
      <c r="I276" s="508"/>
      <c r="J276" s="243" t="b">
        <v>0</v>
      </c>
      <c r="K276" s="238" t="b">
        <v>0</v>
      </c>
      <c r="L276" s="17" t="str">
        <f t="shared" si="4"/>
        <v/>
      </c>
      <c r="M276" s="10"/>
      <c r="N276" s="10"/>
      <c r="O276" s="10"/>
      <c r="P276" s="10"/>
      <c r="Q276" s="10"/>
    </row>
    <row r="277" spans="3:17" hidden="1" outlineLevel="1" x14ac:dyDescent="0.3">
      <c r="C277" s="231"/>
      <c r="D277" s="567"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568"/>
      <c r="F277" s="569"/>
      <c r="G277" s="506"/>
      <c r="H277" s="507"/>
      <c r="I277" s="508"/>
      <c r="J277" s="243" t="b">
        <v>0</v>
      </c>
      <c r="K277" s="238" t="b">
        <v>0</v>
      </c>
      <c r="L277" s="17" t="str">
        <f t="shared" si="4"/>
        <v/>
      </c>
      <c r="M277" s="10"/>
      <c r="N277" s="10"/>
      <c r="O277" s="10"/>
      <c r="P277" s="10"/>
      <c r="Q277" s="10"/>
    </row>
    <row r="278" spans="3:17" hidden="1" outlineLevel="1" x14ac:dyDescent="0.3">
      <c r="C278" s="231"/>
      <c r="D278" s="567"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568"/>
      <c r="F278" s="569"/>
      <c r="G278" s="506"/>
      <c r="H278" s="507"/>
      <c r="I278" s="508"/>
      <c r="J278" s="243" t="b">
        <v>0</v>
      </c>
      <c r="K278" s="238" t="b">
        <v>0</v>
      </c>
      <c r="L278" s="17" t="str">
        <f t="shared" si="4"/>
        <v/>
      </c>
      <c r="M278" s="10"/>
      <c r="N278" s="10"/>
      <c r="O278" s="10"/>
      <c r="P278" s="10"/>
      <c r="Q278" s="10"/>
    </row>
    <row r="279" spans="3:17" hidden="1" outlineLevel="1" x14ac:dyDescent="0.3">
      <c r="C279" s="231"/>
      <c r="D279" s="567"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568"/>
      <c r="F279" s="569"/>
      <c r="G279" s="506"/>
      <c r="H279" s="507"/>
      <c r="I279" s="508"/>
      <c r="J279" s="243" t="b">
        <v>0</v>
      </c>
      <c r="K279" s="238" t="b">
        <v>0</v>
      </c>
      <c r="L279" s="17" t="str">
        <f t="shared" si="4"/>
        <v/>
      </c>
      <c r="M279" s="10"/>
      <c r="N279" s="10"/>
      <c r="O279" s="10"/>
      <c r="P279" s="10"/>
      <c r="Q279" s="10"/>
    </row>
    <row r="280" spans="3:17" hidden="1" outlineLevel="1" x14ac:dyDescent="0.3">
      <c r="C280" s="231"/>
      <c r="D280" s="567"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568"/>
      <c r="F280" s="569"/>
      <c r="G280" s="506"/>
      <c r="H280" s="507"/>
      <c r="I280" s="508"/>
      <c r="J280" s="243" t="b">
        <v>0</v>
      </c>
      <c r="K280" s="238" t="b">
        <v>0</v>
      </c>
      <c r="L280" s="17" t="str">
        <f t="shared" si="4"/>
        <v/>
      </c>
      <c r="M280" s="10"/>
      <c r="N280" s="10"/>
      <c r="O280" s="10"/>
      <c r="P280" s="10"/>
      <c r="Q280" s="10"/>
    </row>
    <row r="281" spans="3:17" hidden="1" outlineLevel="1" x14ac:dyDescent="0.3">
      <c r="C281" s="231"/>
      <c r="D281" s="567"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568"/>
      <c r="F281" s="569"/>
      <c r="G281" s="506"/>
      <c r="H281" s="507"/>
      <c r="I281" s="508"/>
      <c r="J281" s="243" t="b">
        <v>0</v>
      </c>
      <c r="K281" s="238" t="b">
        <v>0</v>
      </c>
      <c r="L281" s="17" t="str">
        <f t="shared" si="4"/>
        <v/>
      </c>
      <c r="M281" s="10"/>
      <c r="N281" s="10"/>
      <c r="O281" s="10"/>
      <c r="P281" s="10"/>
      <c r="Q281" s="10"/>
    </row>
    <row r="282" spans="3:17" hidden="1" outlineLevel="1" x14ac:dyDescent="0.3">
      <c r="C282" s="231"/>
      <c r="D282" s="567"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568"/>
      <c r="F282" s="569"/>
      <c r="G282" s="506"/>
      <c r="H282" s="507"/>
      <c r="I282" s="508"/>
      <c r="J282" s="243" t="b">
        <v>0</v>
      </c>
      <c r="K282" s="238" t="b">
        <v>0</v>
      </c>
      <c r="L282" s="17" t="str">
        <f t="shared" si="4"/>
        <v/>
      </c>
      <c r="M282" s="10"/>
      <c r="N282" s="10"/>
      <c r="O282" s="10"/>
      <c r="P282" s="10"/>
      <c r="Q282" s="10"/>
    </row>
    <row r="283" spans="3:17" hidden="1" outlineLevel="1" x14ac:dyDescent="0.3">
      <c r="C283" s="231"/>
      <c r="D283" s="567"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568"/>
      <c r="F283" s="569"/>
      <c r="G283" s="506"/>
      <c r="H283" s="507"/>
      <c r="I283" s="508"/>
      <c r="J283" s="243" t="b">
        <v>0</v>
      </c>
      <c r="K283" s="238" t="b">
        <v>0</v>
      </c>
      <c r="L283" s="17" t="str">
        <f t="shared" si="4"/>
        <v/>
      </c>
      <c r="M283" s="10"/>
      <c r="N283" s="10"/>
      <c r="O283" s="10"/>
      <c r="P283" s="10"/>
      <c r="Q283" s="10"/>
    </row>
    <row r="284" spans="3:17" hidden="1" outlineLevel="1" x14ac:dyDescent="0.3">
      <c r="C284" s="231"/>
      <c r="D284" s="567"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568"/>
      <c r="F284" s="569"/>
      <c r="G284" s="506"/>
      <c r="H284" s="507"/>
      <c r="I284" s="508"/>
      <c r="J284" s="243" t="b">
        <v>0</v>
      </c>
      <c r="K284" s="238" t="b">
        <v>0</v>
      </c>
      <c r="L284" s="17" t="str">
        <f t="shared" si="4"/>
        <v/>
      </c>
      <c r="M284" s="10"/>
      <c r="N284" s="10"/>
      <c r="O284" s="10"/>
      <c r="P284" s="10"/>
      <c r="Q284" s="10"/>
    </row>
    <row r="285" spans="3:17" hidden="1" outlineLevel="1" x14ac:dyDescent="0.3">
      <c r="C285" s="231"/>
      <c r="D285" s="567"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568"/>
      <c r="F285" s="569"/>
      <c r="G285" s="506"/>
      <c r="H285" s="507"/>
      <c r="I285" s="508"/>
      <c r="J285" s="243" t="b">
        <v>0</v>
      </c>
      <c r="K285" s="238" t="b">
        <v>0</v>
      </c>
      <c r="L285" s="17" t="str">
        <f t="shared" si="4"/>
        <v/>
      </c>
      <c r="M285" s="10"/>
      <c r="N285" s="10"/>
      <c r="O285" s="10"/>
      <c r="P285" s="10"/>
      <c r="Q285" s="10"/>
    </row>
    <row r="286" spans="3:17" hidden="1" outlineLevel="1" x14ac:dyDescent="0.3">
      <c r="C286" s="231"/>
      <c r="D286" s="567"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568"/>
      <c r="F286" s="569"/>
      <c r="G286" s="789"/>
      <c r="H286" s="507"/>
      <c r="I286" s="508"/>
      <c r="J286" s="243" t="b">
        <v>0</v>
      </c>
      <c r="K286" s="238" t="b">
        <v>0</v>
      </c>
      <c r="L286" s="17" t="str">
        <f t="shared" si="4"/>
        <v/>
      </c>
      <c r="M286" s="10"/>
      <c r="N286" s="10"/>
      <c r="O286" s="10"/>
      <c r="P286" s="10"/>
      <c r="Q286" s="10"/>
    </row>
    <row r="287" spans="3:17" ht="15" hidden="1" outlineLevel="1" thickBot="1" x14ac:dyDescent="0.35">
      <c r="C287" s="234"/>
      <c r="D287" s="567"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568"/>
      <c r="F287" s="569"/>
      <c r="G287" s="784"/>
      <c r="H287" s="738"/>
      <c r="I287" s="785"/>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596" t="str">
        <f>template_label_b5_biodiversity_land_use&amp;" "&amp;template_label_from&amp;" "&amp;template_starting_date_display&amp;" "&amp;template_label_to&amp;" "&amp;template_ending_date_display&amp;" " &amp; template_label_may</f>
        <v>B5 – Biodiversità – Uso del suolo da 2024-01-01 a 2024-12-31 [Facoltà (facoltativo)]</v>
      </c>
      <c r="D289" s="597"/>
      <c r="E289" s="597"/>
      <c r="F289" s="598"/>
    </row>
    <row r="290" spans="3:12" x14ac:dyDescent="0.3">
      <c r="C290" s="599">
        <v>34</v>
      </c>
      <c r="D290" s="600"/>
      <c r="E290" s="600"/>
      <c r="F290" s="601"/>
    </row>
    <row r="291" spans="3:12" x14ac:dyDescent="0.3">
      <c r="C291" s="520" t="s">
        <v>5650</v>
      </c>
      <c r="D291" s="521"/>
      <c r="E291" s="521"/>
      <c r="F291" s="522"/>
    </row>
    <row r="292" spans="3:12" ht="16.95" customHeight="1" x14ac:dyDescent="0.3">
      <c r="C292" s="780" t="str">
        <f>template_label_please_select_the_unit_used_for_the_area</f>
        <v>Si prega di selezionare l'unità di misura utilizzata per la superficie (ossia, ettari o m²):</v>
      </c>
      <c r="D292" s="689"/>
      <c r="E292" s="689"/>
      <c r="F292" s="769"/>
    </row>
    <row r="293" spans="3:12" x14ac:dyDescent="0.3">
      <c r="C293" s="781" t="s">
        <v>9554</v>
      </c>
      <c r="D293" s="782"/>
      <c r="E293" s="782"/>
      <c r="F293" s="783"/>
      <c r="G293" s="16" t="str">
        <f>IF(C293&lt;&gt;"", template_label_ok, IF(AND(OR(D295&lt;&gt;"", D296&lt;&gt;"", D297&lt;&gt;"", D298&lt;&gt;""), C293=""), template_label_missing_value, ""))</f>
        <v>OK</v>
      </c>
      <c r="H293" s="122"/>
      <c r="K293" s="16"/>
    </row>
    <row r="294" spans="3:12" x14ac:dyDescent="0.3">
      <c r="C294" s="123" t="str">
        <f>template_label_land_use_type</f>
        <v>Tipo di uso del suolo</v>
      </c>
      <c r="D294" s="689" t="str">
        <f>template_label_area</f>
        <v>Superficie</v>
      </c>
      <c r="E294" s="689"/>
      <c r="F294" s="769"/>
      <c r="G294" s="16"/>
      <c r="H294" s="122"/>
      <c r="K294" s="16"/>
    </row>
    <row r="295" spans="3:12" x14ac:dyDescent="0.3">
      <c r="C295" s="126" t="str">
        <f>template_label_total_sealed_area</f>
        <v>Superficie totale impermeabilizzata</v>
      </c>
      <c r="D295" s="732">
        <v>25</v>
      </c>
      <c r="E295" s="732"/>
      <c r="F295" s="733"/>
      <c r="G295" s="544" t="str">
        <f>IF(AND(G293=template_label_ok, COUNTIF(D295:F298,"&lt;&gt;")&gt;0),
    template_label_ok,
    IF(AND(G293=template_label_ok, COUNTA(D295:F298)=0),
        template_label_missing_value,
        IF(AND(G293=template_label_missing_value, COUNTIF(D295:F298,"&lt;&gt;")&gt;0),
            template_label_value_inconsistency,
            ""
        )
    )
)</f>
        <v>OK</v>
      </c>
      <c r="H295" s="125"/>
      <c r="K295" s="16"/>
    </row>
    <row r="296" spans="3:12" x14ac:dyDescent="0.3">
      <c r="C296" s="126" t="str">
        <f>template_label_total_nature_oriented_area_on_site</f>
        <v>Superficie totale orientata alla natura nel sito</v>
      </c>
      <c r="D296" s="732">
        <v>100</v>
      </c>
      <c r="E296" s="732"/>
      <c r="F296" s="733"/>
      <c r="G296" s="544"/>
      <c r="H296" s="125"/>
      <c r="K296" s="16"/>
    </row>
    <row r="297" spans="3:12" x14ac:dyDescent="0.3">
      <c r="C297" s="126" t="str">
        <f>template_label_total_nature_oriented_area_off_site</f>
        <v>Superficie totale orientata alla natura fuori dal sito</v>
      </c>
      <c r="D297" s="732">
        <v>35</v>
      </c>
      <c r="E297" s="732"/>
      <c r="F297" s="733"/>
      <c r="G297" s="544"/>
      <c r="H297" s="125"/>
      <c r="K297" s="16"/>
    </row>
    <row r="298" spans="3:12" ht="15" thickBot="1" x14ac:dyDescent="0.35">
      <c r="C298" s="113" t="str">
        <f>template_label_total_use_of_land</f>
        <v>Uso totale del suolo</v>
      </c>
      <c r="D298" s="777">
        <v>200</v>
      </c>
      <c r="E298" s="777"/>
      <c r="F298" s="778"/>
      <c r="G298" s="544"/>
      <c r="H298" s="125"/>
      <c r="K298" s="16"/>
    </row>
    <row r="299" spans="3:12" ht="15" thickBot="1" x14ac:dyDescent="0.35"/>
    <row r="300" spans="3:12" x14ac:dyDescent="0.3">
      <c r="C300" s="796" t="str">
        <f>template_label_b6_water_withdrawal&amp;" "&amp;template_label_from&amp;" "&amp;template_starting_date_display&amp;" "&amp;template_label_to&amp;" "&amp;template_ending_date_display&amp;" "&amp;template_label_always_to_be_reported</f>
        <v>B6 - Prelievo Idrico da 2024-01-01 a 2024-12-31 [Sempre da riportare]</v>
      </c>
      <c r="D300" s="797"/>
      <c r="E300" s="15"/>
      <c r="F300" s="15"/>
      <c r="G300" s="16"/>
      <c r="H300" s="16"/>
      <c r="I300" s="16"/>
      <c r="K300" s="16"/>
    </row>
    <row r="301" spans="3:12" x14ac:dyDescent="0.3">
      <c r="C301" s="585">
        <v>35</v>
      </c>
      <c r="D301" s="753"/>
      <c r="E301" s="127"/>
      <c r="F301" s="127"/>
      <c r="G301" s="16"/>
      <c r="H301" s="16"/>
      <c r="I301" s="16"/>
    </row>
    <row r="302" spans="3:12" x14ac:dyDescent="0.3">
      <c r="C302" s="794" t="s">
        <v>9537</v>
      </c>
      <c r="D302" s="795"/>
      <c r="E302" s="128"/>
      <c r="F302" s="128"/>
      <c r="G302" s="16"/>
      <c r="H302" s="16"/>
      <c r="I302" s="16"/>
      <c r="K302" s="52"/>
      <c r="L302" s="52"/>
    </row>
    <row r="303" spans="3:12" x14ac:dyDescent="0.3">
      <c r="C303" s="99" t="str">
        <f>template_label_total_amount_of_water_withdrawn_from_all_sites</f>
        <v>Quantità totale di acqua prelevata da tutti i siti (metri cubi m³)</v>
      </c>
      <c r="D303" s="273">
        <v>742.5</v>
      </c>
      <c r="E303" s="809" t="str">
        <f>IF(
    AND(
        OR(
            'General Information'!E122="Option A (Basic Module only)",
            'General Information'!E122="Option B (Basic Module and Comprehensive Module)"
        ),
        TotalAmountOfWaterWithdrawnFromAllSites=""
    ),
    template_label_missing_value,
    IF('General Information'!E122="", "", template_label_ok)
)</f>
        <v>OK</v>
      </c>
      <c r="F303" s="809"/>
      <c r="G303" s="16"/>
      <c r="H303" s="16"/>
      <c r="I303" s="16"/>
    </row>
    <row r="304" spans="3:12" ht="15" thickBot="1" x14ac:dyDescent="0.35">
      <c r="C304" s="129" t="str">
        <f>template_label_amount_of_water_withdrawn_at_sites_located_in_areas_of_high_water_stress</f>
        <v>Quantità di acqua prelevata presso siti ubicati in aree ad elevato stress idrico (metri cubi m³)</v>
      </c>
      <c r="D304" s="274">
        <v>150</v>
      </c>
      <c r="E304" s="779"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779"/>
      <c r="G304" s="16"/>
      <c r="H304" s="16"/>
      <c r="I304" s="16"/>
    </row>
    <row r="305" spans="3:12" ht="15" thickBot="1" x14ac:dyDescent="0.35">
      <c r="K305" s="38"/>
    </row>
    <row r="306" spans="3:12" x14ac:dyDescent="0.3">
      <c r="C306" s="796" t="str">
        <f>template_label_b6_water_consumption&amp;" "&amp;template_label_from&amp;" "&amp;template_starting_date_display&amp;" "&amp;template_label_to&amp;" "&amp;template_ending_date_display&amp;" "&amp;template_label_if_applicable</f>
        <v>B6 – Acque da 2024-01-01 a 2024-12-31 [Se applicabile]</v>
      </c>
      <c r="D306" s="797"/>
      <c r="E306" s="15"/>
      <c r="F306" s="15"/>
    </row>
    <row r="307" spans="3:12" x14ac:dyDescent="0.3">
      <c r="C307" s="599">
        <v>36</v>
      </c>
      <c r="D307" s="601"/>
      <c r="E307" s="127"/>
      <c r="F307" s="127"/>
    </row>
    <row r="308" spans="3:12" x14ac:dyDescent="0.3">
      <c r="C308" s="736" t="s">
        <v>5651</v>
      </c>
      <c r="D308" s="798"/>
      <c r="E308" s="128"/>
      <c r="F308" s="128"/>
    </row>
    <row r="309" spans="3:12" ht="50.7" customHeight="1" x14ac:dyDescent="0.3">
      <c r="C309" s="131" t="str">
        <f>template_label_does_the_undertaking_have_production_processes_in_place_which_significantly_consume_water</f>
        <v>L'impresa svolge processi di produzione che consumano quantità significative di acqua (ad esempio processi che richiedono energia termica quali l'essiccazione o la produzione di energia elettrica, produzione di merci, irrigazione agricola, ecc.)?</v>
      </c>
      <c r="D309" s="146" t="b">
        <v>1</v>
      </c>
      <c r="E309" s="130"/>
      <c r="F309" s="130"/>
      <c r="G309" s="16"/>
      <c r="H309" s="16"/>
      <c r="I309" s="16"/>
    </row>
    <row r="310" spans="3:12" ht="15" thickBot="1" x14ac:dyDescent="0.35">
      <c r="C310" s="129" t="str">
        <f>template_label_water_discharge_from_undertaking_production_processes</f>
        <v>Scarico di acque risultante dai processi di produzione dell'impresa (m³)</v>
      </c>
      <c r="D310" s="290">
        <v>100</v>
      </c>
      <c r="E310" s="779" t="str">
        <f>IF(
    AND(D309=TRUE, D310=""),
    template_label_missing_value,
    IF(AND(D309=TRUE, D310&lt;&gt;""),
        template_label_ok,
        ""
    )
)</f>
        <v>OK</v>
      </c>
      <c r="F310" s="779"/>
      <c r="G310" s="16"/>
      <c r="H310" s="16"/>
      <c r="I310" s="16"/>
    </row>
    <row r="311" spans="3:12" ht="21" customHeight="1" thickBot="1" x14ac:dyDescent="0.35">
      <c r="C311" s="132" t="str">
        <f>template_label_total_water_consumption</f>
        <v>Consumo idrico totale (m³)</v>
      </c>
      <c r="D311" s="291">
        <f>IF(D310&lt;&gt;"",$D$303-$D$310,"-")</f>
        <v>642.5</v>
      </c>
      <c r="E311" s="133"/>
      <c r="F311" s="133"/>
    </row>
    <row r="312" spans="3:12" ht="15" thickBot="1" x14ac:dyDescent="0.35"/>
    <row r="313" spans="3:12" x14ac:dyDescent="0.3">
      <c r="C313" s="596" t="str">
        <f>template_label_b7_description_of_circular_economy_principles&amp;" "&amp;template_label_from&amp;" "&amp;template_starting_date_display&amp;" "&amp;template_label_to&amp;" "&amp;template_ending_date_display&amp;" "&amp;template_label_always_to_be_reported</f>
        <v>B7 – Descrizione dei principi dell'economia circolare da 2024-01-01 a 2024-12-31 [Sempre da riportare]</v>
      </c>
      <c r="D313" s="597"/>
      <c r="E313" s="791"/>
      <c r="F313" s="791"/>
      <c r="G313" s="598"/>
      <c r="H313" s="16"/>
      <c r="I313" s="16"/>
    </row>
    <row r="314" spans="3:12" x14ac:dyDescent="0.3">
      <c r="C314" s="599">
        <v>37</v>
      </c>
      <c r="D314" s="600"/>
      <c r="E314" s="792"/>
      <c r="F314" s="792"/>
      <c r="G314" s="601"/>
      <c r="H314" s="134"/>
      <c r="I314" s="134"/>
    </row>
    <row r="315" spans="3:12" x14ac:dyDescent="0.3">
      <c r="C315" s="520">
        <v>94</v>
      </c>
      <c r="D315" s="521"/>
      <c r="E315" s="793"/>
      <c r="F315" s="793"/>
      <c r="G315" s="522"/>
      <c r="H315" s="135"/>
      <c r="I315" s="135"/>
    </row>
    <row r="316" spans="3:12" x14ac:dyDescent="0.3">
      <c r="C316" s="97" t="str">
        <f>template_label_undertaking_applies_circular_economy_principles</f>
        <v>L'impresa applica i principi dell'economia circolare</v>
      </c>
      <c r="D316" s="729" t="s">
        <v>2907</v>
      </c>
      <c r="E316" s="730"/>
      <c r="F316" s="730"/>
      <c r="G316" s="731"/>
      <c r="H316" s="727" t="str">
        <f>IF(
    AND(
        OR(
            'General Information'!E122="Option A (Basic Module only)",
            'General Information'!E122="Option B (Basic Module and Comprehensive Module)"
        ),
        UndertakingAppliesCircularEconomyPrinciples=""
    ),
    template_label_missing_value,
    IF('General Information'!E122="", "", template_label_ok)
)</f>
        <v>OK</v>
      </c>
      <c r="I316" s="728"/>
      <c r="J316" s="16"/>
    </row>
    <row r="317" spans="3:12" ht="15" thickBot="1" x14ac:dyDescent="0.35">
      <c r="C317" s="116" t="str">
        <f>template_label_description_of_how_it_applies_these_principles</f>
        <v>Descrizione delle modalità con cui applica questi principi</v>
      </c>
      <c r="D317" s="786"/>
      <c r="E317" s="787"/>
      <c r="F317" s="787"/>
      <c r="G317" s="788"/>
      <c r="H317" s="727" t="str">
        <f>IF(
    AND(D316="YES", D317=""),
    template_label_missing_value,
    IF(
        AND(D316="YES", D317&lt;&gt;""),
        template_label_ok,
        IF(
            AND(D316="NO", D317&lt;&gt;""),
            template_label_value_inconsistency,
            ""
        )
    )
)</f>
        <v/>
      </c>
      <c r="I317" s="728"/>
      <c r="J317" s="16"/>
    </row>
    <row r="318" spans="3:12" ht="15" thickBot="1" x14ac:dyDescent="0.35"/>
    <row r="319" spans="3:12" x14ac:dyDescent="0.3">
      <c r="C319" s="596" t="str">
        <f>template_label_b7_waste_generated&amp;" "&amp;template_label_from&amp;" "&amp;template_starting_date_display&amp;" "&amp;template_label_to&amp;" "&amp;template_ending_date_display&amp;" "&amp;template_label_always_to_be_reported</f>
        <v>B7 – Uso delle risorse, economia circolare e gestione dei rifiuti da 2024-01-01 a 2024-12-31 [Sempre da riportare]</v>
      </c>
      <c r="D319" s="597"/>
      <c r="E319" s="597"/>
      <c r="F319" s="597"/>
      <c r="G319" s="597"/>
      <c r="H319" s="597"/>
      <c r="I319" s="597"/>
      <c r="J319" s="597"/>
      <c r="K319" s="597"/>
      <c r="L319" s="598"/>
    </row>
    <row r="320" spans="3:12" x14ac:dyDescent="0.3">
      <c r="C320" s="599" t="s">
        <v>3726</v>
      </c>
      <c r="D320" s="600"/>
      <c r="E320" s="600"/>
      <c r="F320" s="600"/>
      <c r="G320" s="600"/>
      <c r="H320" s="600"/>
      <c r="I320" s="600"/>
      <c r="J320" s="600"/>
      <c r="K320" s="600"/>
      <c r="L320" s="601"/>
    </row>
    <row r="321" spans="3:14" x14ac:dyDescent="0.3">
      <c r="C321" s="520" t="s">
        <v>5652</v>
      </c>
      <c r="D321" s="521"/>
      <c r="E321" s="521"/>
      <c r="F321" s="521"/>
      <c r="G321" s="521"/>
      <c r="H321" s="521"/>
      <c r="I321" s="521"/>
      <c r="J321" s="521"/>
      <c r="K321" s="521"/>
      <c r="L321" s="522"/>
    </row>
    <row r="322" spans="3:14" ht="49.2" customHeight="1" x14ac:dyDescent="0.3">
      <c r="C322" s="136" t="str">
        <f>template_label_row_id</f>
        <v>ID Riga</v>
      </c>
      <c r="D322" s="742" t="str">
        <f>template_label_type_of_waste</f>
        <v>Tipo di rifiuto</v>
      </c>
      <c r="E322" s="742"/>
      <c r="F322" s="742"/>
      <c r="G322" s="744" t="str">
        <f>template_label_unit_of_measurement</f>
        <v>Unità di misura</v>
      </c>
      <c r="H322" s="744"/>
      <c r="I322" s="744"/>
      <c r="J322" s="137" t="str">
        <f>template_label_waste_diverted_to_recycle_or_reuse</f>
        <v>Rifiuti reindirizzati al riciclaggio o al riutilizzo</v>
      </c>
      <c r="K322" s="138" t="str">
        <f>template_label_waste_directed_to_disposal</f>
        <v>Rifiuti destinati allo smaltimento</v>
      </c>
      <c r="L322" s="139" t="str">
        <f>template_label_total_waste_recycled_reused_and_directed_to_disposal</f>
        <v>Quantità di rifiuti riciclati, riutilizzati e destinati allo smaltimento</v>
      </c>
    </row>
    <row r="323" spans="3:14" x14ac:dyDescent="0.3">
      <c r="C323" s="383">
        <v>1</v>
      </c>
      <c r="D323" s="519" t="s">
        <v>5569</v>
      </c>
      <c r="E323" s="519"/>
      <c r="F323" s="519"/>
      <c r="G323" s="513" t="s">
        <v>2761</v>
      </c>
      <c r="H323" s="513"/>
      <c r="I323" s="513"/>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Si prega di selezionare un Tipo di rifiuto (Pericoloso o Non Pericoloso) piuttosto che una categoria altrimenti apparirà un messaggio di ERRORE.</v>
      </c>
    </row>
    <row r="324" spans="3:14" x14ac:dyDescent="0.3">
      <c r="C324" s="383">
        <v>2</v>
      </c>
      <c r="D324" s="519" t="s">
        <v>5373</v>
      </c>
      <c r="E324" s="519"/>
      <c r="F324" s="519"/>
      <c r="G324" s="513" t="s">
        <v>2757</v>
      </c>
      <c r="H324" s="513"/>
      <c r="I324" s="513"/>
      <c r="J324" s="278">
        <v>800</v>
      </c>
      <c r="K324" s="278">
        <v>400</v>
      </c>
      <c r="L324" s="279">
        <f t="shared" ref="L324:L422" si="5">IF(AND(D324="",J324="",K324=""),"-",SUM(J324:K324))</f>
        <v>1200</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740" t="s">
        <v>5151</v>
      </c>
      <c r="E325" s="740"/>
      <c r="F325" s="740"/>
      <c r="G325" s="741" t="s">
        <v>2761</v>
      </c>
      <c r="H325" s="741"/>
      <c r="I325" s="741"/>
      <c r="J325" s="280">
        <v>500</v>
      </c>
      <c r="K325" s="280">
        <v>200</v>
      </c>
      <c r="L325" s="281">
        <f>IF(AND(D325="",J325="",K325=""),"-",SUM(J325:K325))</f>
        <v>700</v>
      </c>
      <c r="M325" s="16" t="str">
        <f t="shared" si="6"/>
        <v>OK</v>
      </c>
      <c r="N325"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326" spans="3:14" outlineLevel="1" x14ac:dyDescent="0.3">
      <c r="C326" s="382">
        <v>4</v>
      </c>
      <c r="D326" s="743" t="s">
        <v>5299</v>
      </c>
      <c r="E326" s="743"/>
      <c r="F326" s="743"/>
      <c r="G326" s="790" t="s">
        <v>2761</v>
      </c>
      <c r="H326" s="790"/>
      <c r="I326" s="790"/>
      <c r="J326" s="282">
        <v>300</v>
      </c>
      <c r="K326" s="282">
        <v>100</v>
      </c>
      <c r="L326" s="283">
        <f t="shared" si="5"/>
        <v>400</v>
      </c>
      <c r="M326" s="16" t="str">
        <f t="shared" si="6"/>
        <v>OK</v>
      </c>
    </row>
    <row r="327" spans="3:14" outlineLevel="1" x14ac:dyDescent="0.3">
      <c r="C327" s="383">
        <v>5</v>
      </c>
      <c r="D327" s="519" t="s">
        <v>4773</v>
      </c>
      <c r="E327" s="519"/>
      <c r="F327" s="519"/>
      <c r="G327" s="513" t="s">
        <v>2761</v>
      </c>
      <c r="H327" s="513"/>
      <c r="I327" s="513"/>
      <c r="J327" s="278">
        <v>100</v>
      </c>
      <c r="K327" s="278">
        <v>150</v>
      </c>
      <c r="L327" s="279">
        <f t="shared" si="5"/>
        <v>250</v>
      </c>
      <c r="M327" s="16" t="str">
        <f t="shared" si="6"/>
        <v>OK</v>
      </c>
    </row>
    <row r="328" spans="3:14" outlineLevel="1" x14ac:dyDescent="0.3">
      <c r="C328" s="383">
        <v>6</v>
      </c>
      <c r="D328" s="519" t="s">
        <v>4766</v>
      </c>
      <c r="E328" s="519"/>
      <c r="F328" s="519"/>
      <c r="G328" s="513" t="s">
        <v>9555</v>
      </c>
      <c r="H328" s="513"/>
      <c r="I328" s="513"/>
      <c r="J328" s="278">
        <v>4000</v>
      </c>
      <c r="K328" s="278">
        <v>1000</v>
      </c>
      <c r="L328" s="279">
        <f>IF(AND(D328="",J328="",K328=""),"-",SUM(J328:K328))</f>
        <v>5000</v>
      </c>
      <c r="M328" s="16" t="str">
        <f t="shared" si="6"/>
        <v>OK</v>
      </c>
    </row>
    <row r="329" spans="3:14" outlineLevel="1" x14ac:dyDescent="0.3">
      <c r="C329" s="383">
        <v>7</v>
      </c>
      <c r="D329" s="519" t="s">
        <v>5249</v>
      </c>
      <c r="E329" s="519"/>
      <c r="F329" s="519"/>
      <c r="G329" s="513" t="s">
        <v>9555</v>
      </c>
      <c r="H329" s="513"/>
      <c r="I329" s="513"/>
      <c r="J329" s="278">
        <v>30</v>
      </c>
      <c r="K329" s="278">
        <v>70</v>
      </c>
      <c r="L329" s="279">
        <f>IF(AND(D329="",J329="",K329=""),"-",SUM(J329:K329))</f>
        <v>100</v>
      </c>
      <c r="M329" s="16" t="str">
        <f t="shared" si="6"/>
        <v>OK</v>
      </c>
    </row>
    <row r="330" spans="3:14" outlineLevel="1" x14ac:dyDescent="0.3">
      <c r="C330" s="383">
        <v>8</v>
      </c>
      <c r="D330" s="519"/>
      <c r="E330" s="519"/>
      <c r="F330" s="519"/>
      <c r="G330" s="513"/>
      <c r="H330" s="513"/>
      <c r="I330" s="513"/>
      <c r="J330" s="278"/>
      <c r="K330" s="278"/>
      <c r="L330" s="279" t="str">
        <f t="shared" si="5"/>
        <v>-</v>
      </c>
      <c r="M330" s="16" t="str">
        <f t="shared" si="6"/>
        <v/>
      </c>
    </row>
    <row r="331" spans="3:14" outlineLevel="1" x14ac:dyDescent="0.3">
      <c r="C331" s="383">
        <v>9</v>
      </c>
      <c r="D331" s="519"/>
      <c r="E331" s="519"/>
      <c r="F331" s="519"/>
      <c r="G331" s="513"/>
      <c r="H331" s="513"/>
      <c r="I331" s="513"/>
      <c r="J331" s="278"/>
      <c r="K331" s="278"/>
      <c r="L331" s="279" t="str">
        <f t="shared" si="5"/>
        <v>-</v>
      </c>
      <c r="M331" s="16" t="str">
        <f t="shared" si="6"/>
        <v/>
      </c>
    </row>
    <row r="332" spans="3:14" outlineLevel="1" x14ac:dyDescent="0.3">
      <c r="C332" s="383">
        <v>10</v>
      </c>
      <c r="D332" s="519"/>
      <c r="E332" s="519"/>
      <c r="F332" s="519"/>
      <c r="G332" s="513"/>
      <c r="H332" s="513"/>
      <c r="I332" s="513"/>
      <c r="J332" s="278"/>
      <c r="K332" s="278"/>
      <c r="L332" s="279" t="str">
        <f t="shared" si="5"/>
        <v>-</v>
      </c>
      <c r="M332" s="16" t="str">
        <f t="shared" si="6"/>
        <v/>
      </c>
    </row>
    <row r="333" spans="3:14" outlineLevel="1" x14ac:dyDescent="0.3">
      <c r="C333" s="383">
        <v>11</v>
      </c>
      <c r="D333" s="519"/>
      <c r="E333" s="519"/>
      <c r="F333" s="519"/>
      <c r="G333" s="513"/>
      <c r="H333" s="513"/>
      <c r="I333" s="513"/>
      <c r="J333" s="278"/>
      <c r="K333" s="278"/>
      <c r="L333" s="279" t="str">
        <f t="shared" si="5"/>
        <v>-</v>
      </c>
      <c r="M333" s="16" t="str">
        <f t="shared" si="6"/>
        <v/>
      </c>
    </row>
    <row r="334" spans="3:14" outlineLevel="1" x14ac:dyDescent="0.3">
      <c r="C334" s="383">
        <v>12</v>
      </c>
      <c r="D334" s="519"/>
      <c r="E334" s="519"/>
      <c r="F334" s="519"/>
      <c r="G334" s="513"/>
      <c r="H334" s="513"/>
      <c r="I334" s="513"/>
      <c r="J334" s="278"/>
      <c r="K334" s="278"/>
      <c r="L334" s="279" t="str">
        <f t="shared" si="5"/>
        <v>-</v>
      </c>
      <c r="M334" s="16" t="str">
        <f t="shared" si="6"/>
        <v/>
      </c>
    </row>
    <row r="335" spans="3:14" outlineLevel="1" x14ac:dyDescent="0.3">
      <c r="C335" s="383">
        <v>13</v>
      </c>
      <c r="D335" s="519"/>
      <c r="E335" s="519"/>
      <c r="F335" s="519"/>
      <c r="G335" s="513"/>
      <c r="H335" s="513"/>
      <c r="I335" s="513"/>
      <c r="J335" s="278"/>
      <c r="K335" s="278"/>
      <c r="L335" s="279" t="str">
        <f t="shared" si="5"/>
        <v>-</v>
      </c>
      <c r="M335" s="16" t="str">
        <f t="shared" si="6"/>
        <v/>
      </c>
    </row>
    <row r="336" spans="3:14" outlineLevel="1" x14ac:dyDescent="0.3">
      <c r="C336" s="383">
        <v>14</v>
      </c>
      <c r="D336" s="519"/>
      <c r="E336" s="519"/>
      <c r="F336" s="519"/>
      <c r="G336" s="513"/>
      <c r="H336" s="513"/>
      <c r="I336" s="513"/>
      <c r="J336" s="278"/>
      <c r="K336" s="278"/>
      <c r="L336" s="279" t="str">
        <f t="shared" si="5"/>
        <v>-</v>
      </c>
      <c r="M336" s="16" t="str">
        <f t="shared" si="6"/>
        <v/>
      </c>
    </row>
    <row r="337" spans="3:13" outlineLevel="1" x14ac:dyDescent="0.3">
      <c r="C337" s="383">
        <v>15</v>
      </c>
      <c r="D337" s="519"/>
      <c r="E337" s="519"/>
      <c r="F337" s="519"/>
      <c r="G337" s="513"/>
      <c r="H337" s="513"/>
      <c r="I337" s="513"/>
      <c r="J337" s="469"/>
      <c r="K337" s="469"/>
      <c r="L337" s="279" t="str">
        <f t="shared" si="5"/>
        <v>-</v>
      </c>
      <c r="M337" s="16" t="str">
        <f t="shared" si="6"/>
        <v/>
      </c>
    </row>
    <row r="338" spans="3:13" outlineLevel="1" x14ac:dyDescent="0.3">
      <c r="C338" s="383">
        <v>16</v>
      </c>
      <c r="D338" s="519"/>
      <c r="E338" s="519"/>
      <c r="F338" s="519"/>
      <c r="G338" s="513"/>
      <c r="H338" s="513"/>
      <c r="I338" s="513"/>
      <c r="J338" s="469"/>
      <c r="K338" s="469"/>
      <c r="L338" s="279" t="str">
        <f t="shared" si="5"/>
        <v>-</v>
      </c>
      <c r="M338" s="16" t="str">
        <f t="shared" si="6"/>
        <v/>
      </c>
    </row>
    <row r="339" spans="3:13" outlineLevel="1" x14ac:dyDescent="0.3">
      <c r="C339" s="383">
        <v>17</v>
      </c>
      <c r="D339" s="519"/>
      <c r="E339" s="519"/>
      <c r="F339" s="519"/>
      <c r="G339" s="513"/>
      <c r="H339" s="513"/>
      <c r="I339" s="513"/>
      <c r="J339" s="469"/>
      <c r="K339" s="469"/>
      <c r="L339" s="279" t="str">
        <f t="shared" si="5"/>
        <v>-</v>
      </c>
      <c r="M339" s="16" t="str">
        <f t="shared" si="6"/>
        <v/>
      </c>
    </row>
    <row r="340" spans="3:13" outlineLevel="1" x14ac:dyDescent="0.3">
      <c r="C340" s="383">
        <v>18</v>
      </c>
      <c r="D340" s="519"/>
      <c r="E340" s="519"/>
      <c r="F340" s="519"/>
      <c r="G340" s="513"/>
      <c r="H340" s="513"/>
      <c r="I340" s="513"/>
      <c r="J340" s="469"/>
      <c r="K340" s="469"/>
      <c r="L340" s="279" t="str">
        <f t="shared" si="5"/>
        <v>-</v>
      </c>
      <c r="M340" s="16" t="str">
        <f t="shared" si="6"/>
        <v/>
      </c>
    </row>
    <row r="341" spans="3:13" outlineLevel="1" x14ac:dyDescent="0.3">
      <c r="C341" s="383">
        <v>19</v>
      </c>
      <c r="D341" s="519"/>
      <c r="E341" s="519"/>
      <c r="F341" s="519"/>
      <c r="G341" s="513"/>
      <c r="H341" s="513"/>
      <c r="I341" s="513"/>
      <c r="J341" s="469"/>
      <c r="K341" s="469"/>
      <c r="L341" s="279" t="str">
        <f t="shared" si="5"/>
        <v>-</v>
      </c>
      <c r="M341" s="16" t="str">
        <f t="shared" si="6"/>
        <v/>
      </c>
    </row>
    <row r="342" spans="3:13" outlineLevel="1" x14ac:dyDescent="0.3">
      <c r="C342" s="383">
        <v>20</v>
      </c>
      <c r="D342" s="519"/>
      <c r="E342" s="519"/>
      <c r="F342" s="519"/>
      <c r="G342" s="513"/>
      <c r="H342" s="513"/>
      <c r="I342" s="513"/>
      <c r="J342" s="469"/>
      <c r="K342" s="469"/>
      <c r="L342" s="279" t="str">
        <f t="shared" si="5"/>
        <v>-</v>
      </c>
      <c r="M342" s="16" t="str">
        <f t="shared" si="6"/>
        <v/>
      </c>
    </row>
    <row r="343" spans="3:13" outlineLevel="1" x14ac:dyDescent="0.3">
      <c r="C343" s="383">
        <v>21</v>
      </c>
      <c r="D343" s="519"/>
      <c r="E343" s="519"/>
      <c r="F343" s="519"/>
      <c r="G343" s="513"/>
      <c r="H343" s="513"/>
      <c r="I343" s="513"/>
      <c r="J343" s="469"/>
      <c r="K343" s="469"/>
      <c r="L343" s="279" t="str">
        <f t="shared" si="5"/>
        <v>-</v>
      </c>
      <c r="M343" s="16" t="str">
        <f t="shared" si="6"/>
        <v/>
      </c>
    </row>
    <row r="344" spans="3:13" outlineLevel="1" x14ac:dyDescent="0.3">
      <c r="C344" s="383">
        <v>22</v>
      </c>
      <c r="D344" s="519"/>
      <c r="E344" s="519"/>
      <c r="F344" s="519"/>
      <c r="G344" s="513"/>
      <c r="H344" s="513"/>
      <c r="I344" s="513"/>
      <c r="J344" s="469"/>
      <c r="K344" s="469"/>
      <c r="L344" s="279" t="str">
        <f t="shared" si="5"/>
        <v>-</v>
      </c>
      <c r="M344" s="16" t="str">
        <f t="shared" si="6"/>
        <v/>
      </c>
    </row>
    <row r="345" spans="3:13" outlineLevel="1" x14ac:dyDescent="0.3">
      <c r="C345" s="383">
        <v>23</v>
      </c>
      <c r="D345" s="519"/>
      <c r="E345" s="519"/>
      <c r="F345" s="519"/>
      <c r="G345" s="513"/>
      <c r="H345" s="513"/>
      <c r="I345" s="513"/>
      <c r="J345" s="469"/>
      <c r="K345" s="469"/>
      <c r="L345" s="279" t="str">
        <f t="shared" si="5"/>
        <v>-</v>
      </c>
      <c r="M345" s="16" t="str">
        <f t="shared" si="6"/>
        <v/>
      </c>
    </row>
    <row r="346" spans="3:13" outlineLevel="1" x14ac:dyDescent="0.3">
      <c r="C346" s="383">
        <v>24</v>
      </c>
      <c r="D346" s="519"/>
      <c r="E346" s="519"/>
      <c r="F346" s="519"/>
      <c r="G346" s="513"/>
      <c r="H346" s="513"/>
      <c r="I346" s="513"/>
      <c r="J346" s="469"/>
      <c r="K346" s="469"/>
      <c r="L346" s="279" t="str">
        <f t="shared" si="5"/>
        <v>-</v>
      </c>
      <c r="M346" s="16" t="str">
        <f t="shared" si="6"/>
        <v/>
      </c>
    </row>
    <row r="347" spans="3:13" outlineLevel="1" x14ac:dyDescent="0.3">
      <c r="C347" s="383">
        <v>25</v>
      </c>
      <c r="D347" s="519"/>
      <c r="E347" s="519"/>
      <c r="F347" s="519"/>
      <c r="G347" s="513"/>
      <c r="H347" s="513"/>
      <c r="I347" s="513"/>
      <c r="J347" s="469"/>
      <c r="K347" s="469"/>
      <c r="L347" s="279" t="str">
        <f t="shared" si="5"/>
        <v>-</v>
      </c>
      <c r="M347" s="16" t="str">
        <f t="shared" si="6"/>
        <v/>
      </c>
    </row>
    <row r="348" spans="3:13" outlineLevel="1" x14ac:dyDescent="0.3">
      <c r="C348" s="383">
        <v>26</v>
      </c>
      <c r="D348" s="519"/>
      <c r="E348" s="519"/>
      <c r="F348" s="519"/>
      <c r="G348" s="513"/>
      <c r="H348" s="513"/>
      <c r="I348" s="513"/>
      <c r="J348" s="469"/>
      <c r="K348" s="469"/>
      <c r="L348" s="279" t="str">
        <f t="shared" si="5"/>
        <v>-</v>
      </c>
      <c r="M348" s="16" t="str">
        <f t="shared" si="6"/>
        <v/>
      </c>
    </row>
    <row r="349" spans="3:13" outlineLevel="1" x14ac:dyDescent="0.3">
      <c r="C349" s="383">
        <v>27</v>
      </c>
      <c r="D349" s="519"/>
      <c r="E349" s="519"/>
      <c r="F349" s="519"/>
      <c r="G349" s="513"/>
      <c r="H349" s="513"/>
      <c r="I349" s="513"/>
      <c r="J349" s="469"/>
      <c r="K349" s="469"/>
      <c r="L349" s="279" t="str">
        <f t="shared" si="5"/>
        <v>-</v>
      </c>
      <c r="M349" s="16" t="str">
        <f t="shared" si="6"/>
        <v/>
      </c>
    </row>
    <row r="350" spans="3:13" outlineLevel="1" x14ac:dyDescent="0.3">
      <c r="C350" s="383">
        <v>28</v>
      </c>
      <c r="D350" s="519"/>
      <c r="E350" s="519"/>
      <c r="F350" s="519"/>
      <c r="G350" s="513"/>
      <c r="H350" s="513"/>
      <c r="I350" s="513"/>
      <c r="J350" s="469"/>
      <c r="K350" s="469"/>
      <c r="L350" s="279" t="str">
        <f t="shared" si="5"/>
        <v>-</v>
      </c>
      <c r="M350" s="16" t="str">
        <f t="shared" si="6"/>
        <v/>
      </c>
    </row>
    <row r="351" spans="3:13" outlineLevel="1" x14ac:dyDescent="0.3">
      <c r="C351" s="383">
        <v>29</v>
      </c>
      <c r="D351" s="519"/>
      <c r="E351" s="519"/>
      <c r="F351" s="519"/>
      <c r="G351" s="513"/>
      <c r="H351" s="513"/>
      <c r="I351" s="513"/>
      <c r="J351" s="469"/>
      <c r="K351" s="469"/>
      <c r="L351" s="279" t="str">
        <f t="shared" si="5"/>
        <v>-</v>
      </c>
      <c r="M351" s="16" t="str">
        <f t="shared" si="6"/>
        <v/>
      </c>
    </row>
    <row r="352" spans="3:13" outlineLevel="1" x14ac:dyDescent="0.3">
      <c r="C352" s="383">
        <v>30</v>
      </c>
      <c r="D352" s="519"/>
      <c r="E352" s="519"/>
      <c r="F352" s="519"/>
      <c r="G352" s="513"/>
      <c r="H352" s="513"/>
      <c r="I352" s="513"/>
      <c r="J352" s="469"/>
      <c r="K352" s="469"/>
      <c r="L352" s="279" t="str">
        <f t="shared" si="5"/>
        <v>-</v>
      </c>
      <c r="M352" s="16" t="str">
        <f t="shared" si="6"/>
        <v/>
      </c>
    </row>
    <row r="353" spans="3:13" outlineLevel="1" x14ac:dyDescent="0.3">
      <c r="C353" s="383">
        <v>31</v>
      </c>
      <c r="D353" s="519"/>
      <c r="E353" s="519"/>
      <c r="F353" s="519"/>
      <c r="G353" s="513"/>
      <c r="H353" s="513"/>
      <c r="I353" s="513"/>
      <c r="J353" s="469"/>
      <c r="K353" s="469"/>
      <c r="L353" s="279" t="str">
        <f t="shared" si="5"/>
        <v>-</v>
      </c>
      <c r="M353" s="16" t="str">
        <f t="shared" si="6"/>
        <v/>
      </c>
    </row>
    <row r="354" spans="3:13" outlineLevel="1" x14ac:dyDescent="0.3">
      <c r="C354" s="383">
        <v>32</v>
      </c>
      <c r="D354" s="519"/>
      <c r="E354" s="519"/>
      <c r="F354" s="519"/>
      <c r="G354" s="513"/>
      <c r="H354" s="513"/>
      <c r="I354" s="513"/>
      <c r="J354" s="469"/>
      <c r="K354" s="469"/>
      <c r="L354" s="279" t="str">
        <f t="shared" si="5"/>
        <v>-</v>
      </c>
      <c r="M354" s="16" t="str">
        <f t="shared" si="6"/>
        <v/>
      </c>
    </row>
    <row r="355" spans="3:13" outlineLevel="1" x14ac:dyDescent="0.3">
      <c r="C355" s="383">
        <v>33</v>
      </c>
      <c r="D355" s="519"/>
      <c r="E355" s="519"/>
      <c r="F355" s="519"/>
      <c r="G355" s="513"/>
      <c r="H355" s="513"/>
      <c r="I355" s="513"/>
      <c r="J355" s="469"/>
      <c r="K355" s="469"/>
      <c r="L355" s="279" t="str">
        <f t="shared" si="5"/>
        <v>-</v>
      </c>
      <c r="M355" s="16" t="str">
        <f t="shared" si="6"/>
        <v/>
      </c>
    </row>
    <row r="356" spans="3:13" outlineLevel="1" x14ac:dyDescent="0.3">
      <c r="C356" s="383">
        <v>34</v>
      </c>
      <c r="D356" s="519"/>
      <c r="E356" s="519"/>
      <c r="F356" s="519"/>
      <c r="G356" s="513"/>
      <c r="H356" s="513"/>
      <c r="I356" s="513"/>
      <c r="J356" s="469"/>
      <c r="K356" s="469"/>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3">
      <c r="C357" s="383">
        <v>35</v>
      </c>
      <c r="D357" s="519"/>
      <c r="E357" s="519"/>
      <c r="F357" s="519"/>
      <c r="G357" s="513"/>
      <c r="H357" s="513"/>
      <c r="I357" s="513"/>
      <c r="J357" s="469"/>
      <c r="K357" s="469"/>
      <c r="L357" s="279" t="str">
        <f t="shared" si="5"/>
        <v>-</v>
      </c>
      <c r="M357" s="16" t="str">
        <f t="shared" si="7"/>
        <v/>
      </c>
    </row>
    <row r="358" spans="3:13" outlineLevel="1" x14ac:dyDescent="0.3">
      <c r="C358" s="383">
        <v>36</v>
      </c>
      <c r="D358" s="519"/>
      <c r="E358" s="519"/>
      <c r="F358" s="519"/>
      <c r="G358" s="513"/>
      <c r="H358" s="513"/>
      <c r="I358" s="513"/>
      <c r="J358" s="469"/>
      <c r="K358" s="469"/>
      <c r="L358" s="279" t="str">
        <f t="shared" si="5"/>
        <v>-</v>
      </c>
      <c r="M358" s="16" t="str">
        <f t="shared" si="7"/>
        <v/>
      </c>
    </row>
    <row r="359" spans="3:13" outlineLevel="1" x14ac:dyDescent="0.3">
      <c r="C359" s="383">
        <v>37</v>
      </c>
      <c r="D359" s="519"/>
      <c r="E359" s="519"/>
      <c r="F359" s="519"/>
      <c r="G359" s="513"/>
      <c r="H359" s="513"/>
      <c r="I359" s="513"/>
      <c r="J359" s="469"/>
      <c r="K359" s="469"/>
      <c r="L359" s="279" t="str">
        <f t="shared" si="5"/>
        <v>-</v>
      </c>
      <c r="M359" s="16" t="str">
        <f t="shared" si="7"/>
        <v/>
      </c>
    </row>
    <row r="360" spans="3:13" outlineLevel="1" x14ac:dyDescent="0.3">
      <c r="C360" s="383">
        <v>38</v>
      </c>
      <c r="D360" s="519"/>
      <c r="E360" s="519"/>
      <c r="F360" s="519"/>
      <c r="G360" s="513"/>
      <c r="H360" s="513"/>
      <c r="I360" s="513"/>
      <c r="J360" s="469"/>
      <c r="K360" s="469"/>
      <c r="L360" s="279" t="str">
        <f t="shared" si="5"/>
        <v>-</v>
      </c>
      <c r="M360" s="16" t="str">
        <f t="shared" si="7"/>
        <v/>
      </c>
    </row>
    <row r="361" spans="3:13" outlineLevel="1" x14ac:dyDescent="0.3">
      <c r="C361" s="383">
        <v>39</v>
      </c>
      <c r="D361" s="519"/>
      <c r="E361" s="519"/>
      <c r="F361" s="519"/>
      <c r="G361" s="513"/>
      <c r="H361" s="513"/>
      <c r="I361" s="513"/>
      <c r="J361" s="469"/>
      <c r="K361" s="469"/>
      <c r="L361" s="279" t="str">
        <f t="shared" si="5"/>
        <v>-</v>
      </c>
      <c r="M361" s="16" t="str">
        <f t="shared" si="7"/>
        <v/>
      </c>
    </row>
    <row r="362" spans="3:13" outlineLevel="1" x14ac:dyDescent="0.3">
      <c r="C362" s="383">
        <v>40</v>
      </c>
      <c r="D362" s="519"/>
      <c r="E362" s="519"/>
      <c r="F362" s="519"/>
      <c r="G362" s="513"/>
      <c r="H362" s="513"/>
      <c r="I362" s="513"/>
      <c r="J362" s="469"/>
      <c r="K362" s="469"/>
      <c r="L362" s="279" t="str">
        <f t="shared" si="5"/>
        <v>-</v>
      </c>
      <c r="M362" s="16" t="str">
        <f t="shared" si="7"/>
        <v/>
      </c>
    </row>
    <row r="363" spans="3:13" outlineLevel="1" x14ac:dyDescent="0.3">
      <c r="C363" s="383">
        <v>41</v>
      </c>
      <c r="D363" s="519"/>
      <c r="E363" s="519"/>
      <c r="F363" s="519"/>
      <c r="G363" s="513"/>
      <c r="H363" s="513"/>
      <c r="I363" s="513"/>
      <c r="J363" s="469"/>
      <c r="K363" s="469"/>
      <c r="L363" s="279" t="str">
        <f t="shared" si="5"/>
        <v>-</v>
      </c>
      <c r="M363" s="16" t="str">
        <f t="shared" si="7"/>
        <v/>
      </c>
    </row>
    <row r="364" spans="3:13" outlineLevel="1" x14ac:dyDescent="0.3">
      <c r="C364" s="383">
        <v>42</v>
      </c>
      <c r="D364" s="519"/>
      <c r="E364" s="519"/>
      <c r="F364" s="519"/>
      <c r="G364" s="513"/>
      <c r="H364" s="513"/>
      <c r="I364" s="513"/>
      <c r="J364" s="469"/>
      <c r="K364" s="469"/>
      <c r="L364" s="279" t="str">
        <f t="shared" si="5"/>
        <v>-</v>
      </c>
      <c r="M364" s="16" t="str">
        <f t="shared" si="7"/>
        <v/>
      </c>
    </row>
    <row r="365" spans="3:13" outlineLevel="1" x14ac:dyDescent="0.3">
      <c r="C365" s="383">
        <v>43</v>
      </c>
      <c r="D365" s="519"/>
      <c r="E365" s="519"/>
      <c r="F365" s="519"/>
      <c r="G365" s="513"/>
      <c r="H365" s="513"/>
      <c r="I365" s="513"/>
      <c r="J365" s="469"/>
      <c r="K365" s="469"/>
      <c r="L365" s="279" t="str">
        <f t="shared" si="5"/>
        <v>-</v>
      </c>
      <c r="M365" s="16" t="str">
        <f t="shared" si="7"/>
        <v/>
      </c>
    </row>
    <row r="366" spans="3:13" outlineLevel="1" x14ac:dyDescent="0.3">
      <c r="C366" s="383">
        <v>44</v>
      </c>
      <c r="D366" s="519"/>
      <c r="E366" s="519"/>
      <c r="F366" s="519"/>
      <c r="G366" s="513"/>
      <c r="H366" s="513"/>
      <c r="I366" s="513"/>
      <c r="J366" s="469"/>
      <c r="K366" s="469"/>
      <c r="L366" s="279" t="str">
        <f t="shared" si="5"/>
        <v>-</v>
      </c>
      <c r="M366" s="16" t="str">
        <f t="shared" si="7"/>
        <v/>
      </c>
    </row>
    <row r="367" spans="3:13" outlineLevel="1" x14ac:dyDescent="0.3">
      <c r="C367" s="383">
        <v>45</v>
      </c>
      <c r="D367" s="519"/>
      <c r="E367" s="519"/>
      <c r="F367" s="519"/>
      <c r="G367" s="513"/>
      <c r="H367" s="513"/>
      <c r="I367" s="513"/>
      <c r="J367" s="469"/>
      <c r="K367" s="469"/>
      <c r="L367" s="279" t="str">
        <f t="shared" si="5"/>
        <v>-</v>
      </c>
      <c r="M367" s="16" t="str">
        <f t="shared" si="7"/>
        <v/>
      </c>
    </row>
    <row r="368" spans="3:13" outlineLevel="1" x14ac:dyDescent="0.3">
      <c r="C368" s="383">
        <v>46</v>
      </c>
      <c r="D368" s="519"/>
      <c r="E368" s="519"/>
      <c r="F368" s="519"/>
      <c r="G368" s="513"/>
      <c r="H368" s="513"/>
      <c r="I368" s="513"/>
      <c r="J368" s="469"/>
      <c r="K368" s="469"/>
      <c r="L368" s="279" t="str">
        <f t="shared" si="5"/>
        <v>-</v>
      </c>
      <c r="M368" s="16" t="str">
        <f t="shared" si="7"/>
        <v/>
      </c>
    </row>
    <row r="369" spans="3:13" outlineLevel="1" x14ac:dyDescent="0.3">
      <c r="C369" s="383">
        <v>47</v>
      </c>
      <c r="D369" s="519"/>
      <c r="E369" s="519"/>
      <c r="F369" s="519"/>
      <c r="G369" s="513"/>
      <c r="H369" s="513"/>
      <c r="I369" s="513"/>
      <c r="J369" s="469"/>
      <c r="K369" s="469"/>
      <c r="L369" s="279" t="str">
        <f t="shared" si="5"/>
        <v>-</v>
      </c>
      <c r="M369" s="16" t="str">
        <f t="shared" si="7"/>
        <v/>
      </c>
    </row>
    <row r="370" spans="3:13" outlineLevel="1" x14ac:dyDescent="0.3">
      <c r="C370" s="383">
        <v>48</v>
      </c>
      <c r="D370" s="519"/>
      <c r="E370" s="519"/>
      <c r="F370" s="519"/>
      <c r="G370" s="513"/>
      <c r="H370" s="513"/>
      <c r="I370" s="513"/>
      <c r="J370" s="469"/>
      <c r="K370" s="469"/>
      <c r="L370" s="279" t="str">
        <f t="shared" si="5"/>
        <v>-</v>
      </c>
      <c r="M370" s="16" t="str">
        <f t="shared" si="7"/>
        <v/>
      </c>
    </row>
    <row r="371" spans="3:13" outlineLevel="1" x14ac:dyDescent="0.3">
      <c r="C371" s="383">
        <v>49</v>
      </c>
      <c r="D371" s="519"/>
      <c r="E371" s="519"/>
      <c r="F371" s="519"/>
      <c r="G371" s="513"/>
      <c r="H371" s="513"/>
      <c r="I371" s="513"/>
      <c r="J371" s="469"/>
      <c r="K371" s="469"/>
      <c r="L371" s="279" t="str">
        <f t="shared" si="5"/>
        <v>-</v>
      </c>
      <c r="M371" s="16" t="str">
        <f t="shared" si="7"/>
        <v/>
      </c>
    </row>
    <row r="372" spans="3:13" outlineLevel="1" x14ac:dyDescent="0.3">
      <c r="C372" s="383">
        <v>50</v>
      </c>
      <c r="D372" s="519"/>
      <c r="E372" s="519"/>
      <c r="F372" s="519"/>
      <c r="G372" s="513"/>
      <c r="H372" s="513"/>
      <c r="I372" s="513"/>
      <c r="J372" s="469"/>
      <c r="K372" s="469"/>
      <c r="L372" s="279" t="str">
        <f t="shared" si="5"/>
        <v>-</v>
      </c>
      <c r="M372" s="16" t="str">
        <f t="shared" si="7"/>
        <v/>
      </c>
    </row>
    <row r="373" spans="3:13" outlineLevel="1" x14ac:dyDescent="0.3">
      <c r="C373" s="383">
        <v>51</v>
      </c>
      <c r="D373" s="519"/>
      <c r="E373" s="519"/>
      <c r="F373" s="519"/>
      <c r="G373" s="513"/>
      <c r="H373" s="513"/>
      <c r="I373" s="513"/>
      <c r="J373" s="469"/>
      <c r="K373" s="469"/>
      <c r="L373" s="279" t="str">
        <f t="shared" si="5"/>
        <v>-</v>
      </c>
      <c r="M373" s="16" t="str">
        <f t="shared" si="7"/>
        <v/>
      </c>
    </row>
    <row r="374" spans="3:13" outlineLevel="1" x14ac:dyDescent="0.3">
      <c r="C374" s="383">
        <v>52</v>
      </c>
      <c r="D374" s="519"/>
      <c r="E374" s="519"/>
      <c r="F374" s="519"/>
      <c r="G374" s="513"/>
      <c r="H374" s="513"/>
      <c r="I374" s="513"/>
      <c r="J374" s="469"/>
      <c r="K374" s="469"/>
      <c r="L374" s="279" t="str">
        <f t="shared" si="5"/>
        <v>-</v>
      </c>
      <c r="M374" s="16" t="str">
        <f t="shared" si="7"/>
        <v/>
      </c>
    </row>
    <row r="375" spans="3:13" outlineLevel="1" x14ac:dyDescent="0.3">
      <c r="C375" s="383">
        <v>53</v>
      </c>
      <c r="D375" s="519"/>
      <c r="E375" s="519"/>
      <c r="F375" s="519"/>
      <c r="G375" s="513"/>
      <c r="H375" s="513"/>
      <c r="I375" s="513"/>
      <c r="J375" s="469"/>
      <c r="K375" s="469"/>
      <c r="L375" s="279" t="str">
        <f t="shared" si="5"/>
        <v>-</v>
      </c>
      <c r="M375" s="16" t="str">
        <f t="shared" si="7"/>
        <v/>
      </c>
    </row>
    <row r="376" spans="3:13" outlineLevel="1" x14ac:dyDescent="0.3">
      <c r="C376" s="383">
        <v>54</v>
      </c>
      <c r="D376" s="519"/>
      <c r="E376" s="519"/>
      <c r="F376" s="519"/>
      <c r="G376" s="513"/>
      <c r="H376" s="513"/>
      <c r="I376" s="513"/>
      <c r="J376" s="469"/>
      <c r="K376" s="469"/>
      <c r="L376" s="279" t="str">
        <f t="shared" si="5"/>
        <v>-</v>
      </c>
      <c r="M376" s="16" t="str">
        <f t="shared" si="7"/>
        <v/>
      </c>
    </row>
    <row r="377" spans="3:13" outlineLevel="1" x14ac:dyDescent="0.3">
      <c r="C377" s="383">
        <v>55</v>
      </c>
      <c r="D377" s="519"/>
      <c r="E377" s="519"/>
      <c r="F377" s="519"/>
      <c r="G377" s="513"/>
      <c r="H377" s="513"/>
      <c r="I377" s="513"/>
      <c r="J377" s="469"/>
      <c r="K377" s="469"/>
      <c r="L377" s="279" t="str">
        <f t="shared" si="5"/>
        <v>-</v>
      </c>
      <c r="M377" s="16" t="str">
        <f t="shared" si="7"/>
        <v/>
      </c>
    </row>
    <row r="378" spans="3:13" outlineLevel="1" x14ac:dyDescent="0.3">
      <c r="C378" s="383">
        <v>56</v>
      </c>
      <c r="D378" s="519"/>
      <c r="E378" s="519"/>
      <c r="F378" s="519"/>
      <c r="G378" s="513"/>
      <c r="H378" s="513"/>
      <c r="I378" s="513"/>
      <c r="J378" s="469"/>
      <c r="K378" s="469"/>
      <c r="L378" s="279" t="str">
        <f t="shared" si="5"/>
        <v>-</v>
      </c>
      <c r="M378" s="16" t="str">
        <f t="shared" si="7"/>
        <v/>
      </c>
    </row>
    <row r="379" spans="3:13" outlineLevel="1" x14ac:dyDescent="0.3">
      <c r="C379" s="383">
        <v>57</v>
      </c>
      <c r="D379" s="519"/>
      <c r="E379" s="519"/>
      <c r="F379" s="519"/>
      <c r="G379" s="513"/>
      <c r="H379" s="513"/>
      <c r="I379" s="513"/>
      <c r="J379" s="469"/>
      <c r="K379" s="469"/>
      <c r="L379" s="279" t="str">
        <f t="shared" si="5"/>
        <v>-</v>
      </c>
      <c r="M379" s="16" t="str">
        <f t="shared" si="7"/>
        <v/>
      </c>
    </row>
    <row r="380" spans="3:13" outlineLevel="1" x14ac:dyDescent="0.3">
      <c r="C380" s="383">
        <v>58</v>
      </c>
      <c r="D380" s="519"/>
      <c r="E380" s="519"/>
      <c r="F380" s="519"/>
      <c r="G380" s="513"/>
      <c r="H380" s="513"/>
      <c r="I380" s="513"/>
      <c r="J380" s="469"/>
      <c r="K380" s="469"/>
      <c r="L380" s="279" t="str">
        <f t="shared" si="5"/>
        <v>-</v>
      </c>
      <c r="M380" s="16" t="str">
        <f t="shared" si="7"/>
        <v/>
      </c>
    </row>
    <row r="381" spans="3:13" outlineLevel="1" x14ac:dyDescent="0.3">
      <c r="C381" s="383">
        <v>59</v>
      </c>
      <c r="D381" s="519"/>
      <c r="E381" s="519"/>
      <c r="F381" s="519"/>
      <c r="G381" s="513"/>
      <c r="H381" s="513"/>
      <c r="I381" s="513"/>
      <c r="J381" s="469"/>
      <c r="K381" s="469"/>
      <c r="L381" s="279" t="str">
        <f t="shared" si="5"/>
        <v>-</v>
      </c>
      <c r="M381" s="16" t="str">
        <f t="shared" si="7"/>
        <v/>
      </c>
    </row>
    <row r="382" spans="3:13" outlineLevel="1" x14ac:dyDescent="0.3">
      <c r="C382" s="383">
        <v>60</v>
      </c>
      <c r="D382" s="519"/>
      <c r="E382" s="519"/>
      <c r="F382" s="519"/>
      <c r="G382" s="513"/>
      <c r="H382" s="513"/>
      <c r="I382" s="513"/>
      <c r="J382" s="469"/>
      <c r="K382" s="469"/>
      <c r="L382" s="279" t="str">
        <f t="shared" si="5"/>
        <v>-</v>
      </c>
      <c r="M382" s="16" t="str">
        <f t="shared" si="7"/>
        <v/>
      </c>
    </row>
    <row r="383" spans="3:13" outlineLevel="1" x14ac:dyDescent="0.3">
      <c r="C383" s="383">
        <v>61</v>
      </c>
      <c r="D383" s="519"/>
      <c r="E383" s="519"/>
      <c r="F383" s="519"/>
      <c r="G383" s="513"/>
      <c r="H383" s="513"/>
      <c r="I383" s="513"/>
      <c r="J383" s="469"/>
      <c r="K383" s="469"/>
      <c r="L383" s="279" t="str">
        <f t="shared" si="5"/>
        <v>-</v>
      </c>
      <c r="M383" s="16" t="str">
        <f t="shared" si="7"/>
        <v/>
      </c>
    </row>
    <row r="384" spans="3:13" outlineLevel="1" x14ac:dyDescent="0.3">
      <c r="C384" s="383">
        <v>62</v>
      </c>
      <c r="D384" s="519"/>
      <c r="E384" s="519"/>
      <c r="F384" s="519"/>
      <c r="G384" s="513"/>
      <c r="H384" s="513"/>
      <c r="I384" s="513"/>
      <c r="J384" s="469"/>
      <c r="K384" s="469"/>
      <c r="L384" s="279" t="str">
        <f t="shared" si="5"/>
        <v>-</v>
      </c>
      <c r="M384" s="16" t="str">
        <f t="shared" si="7"/>
        <v/>
      </c>
    </row>
    <row r="385" spans="3:13" outlineLevel="1" x14ac:dyDescent="0.3">
      <c r="C385" s="383">
        <v>63</v>
      </c>
      <c r="D385" s="519"/>
      <c r="E385" s="519"/>
      <c r="F385" s="519"/>
      <c r="G385" s="513"/>
      <c r="H385" s="513"/>
      <c r="I385" s="513"/>
      <c r="J385" s="469"/>
      <c r="K385" s="469"/>
      <c r="L385" s="279" t="str">
        <f t="shared" si="5"/>
        <v>-</v>
      </c>
      <c r="M385" s="16" t="str">
        <f t="shared" si="7"/>
        <v/>
      </c>
    </row>
    <row r="386" spans="3:13" outlineLevel="1" x14ac:dyDescent="0.3">
      <c r="C386" s="383">
        <v>64</v>
      </c>
      <c r="D386" s="519"/>
      <c r="E386" s="519"/>
      <c r="F386" s="519"/>
      <c r="G386" s="513"/>
      <c r="H386" s="513"/>
      <c r="I386" s="513"/>
      <c r="J386" s="469"/>
      <c r="K386" s="469"/>
      <c r="L386" s="279" t="str">
        <f t="shared" si="5"/>
        <v>-</v>
      </c>
      <c r="M386" s="16" t="str">
        <f t="shared" si="7"/>
        <v/>
      </c>
    </row>
    <row r="387" spans="3:13" outlineLevel="1" x14ac:dyDescent="0.3">
      <c r="C387" s="383">
        <v>65</v>
      </c>
      <c r="D387" s="519"/>
      <c r="E387" s="519"/>
      <c r="F387" s="519"/>
      <c r="G387" s="513"/>
      <c r="H387" s="513"/>
      <c r="I387" s="513"/>
      <c r="J387" s="469"/>
      <c r="K387" s="469"/>
      <c r="L387" s="279" t="str">
        <f t="shared" si="5"/>
        <v>-</v>
      </c>
      <c r="M387" s="16" t="str">
        <f t="shared" si="7"/>
        <v/>
      </c>
    </row>
    <row r="388" spans="3:13" outlineLevel="1" x14ac:dyDescent="0.3">
      <c r="C388" s="383">
        <v>66</v>
      </c>
      <c r="D388" s="519"/>
      <c r="E388" s="519"/>
      <c r="F388" s="519"/>
      <c r="G388" s="513"/>
      <c r="H388" s="513"/>
      <c r="I388" s="513"/>
      <c r="J388" s="469"/>
      <c r="K388" s="469"/>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3">
      <c r="C389" s="383">
        <v>67</v>
      </c>
      <c r="D389" s="519"/>
      <c r="E389" s="519"/>
      <c r="F389" s="519"/>
      <c r="G389" s="513"/>
      <c r="H389" s="513"/>
      <c r="I389" s="513"/>
      <c r="J389" s="469"/>
      <c r="K389" s="469"/>
      <c r="L389" s="279" t="str">
        <f t="shared" si="5"/>
        <v>-</v>
      </c>
      <c r="M389" s="16" t="str">
        <f t="shared" si="8"/>
        <v/>
      </c>
    </row>
    <row r="390" spans="3:13" outlineLevel="1" x14ac:dyDescent="0.3">
      <c r="C390" s="383">
        <v>68</v>
      </c>
      <c r="D390" s="519"/>
      <c r="E390" s="519"/>
      <c r="F390" s="519"/>
      <c r="G390" s="513"/>
      <c r="H390" s="513"/>
      <c r="I390" s="513"/>
      <c r="J390" s="469"/>
      <c r="K390" s="469"/>
      <c r="L390" s="279" t="str">
        <f t="shared" si="5"/>
        <v>-</v>
      </c>
      <c r="M390" s="16" t="str">
        <f t="shared" si="8"/>
        <v/>
      </c>
    </row>
    <row r="391" spans="3:13" outlineLevel="1" x14ac:dyDescent="0.3">
      <c r="C391" s="383">
        <v>69</v>
      </c>
      <c r="D391" s="519"/>
      <c r="E391" s="519"/>
      <c r="F391" s="519"/>
      <c r="G391" s="513"/>
      <c r="H391" s="513"/>
      <c r="I391" s="513"/>
      <c r="J391" s="469"/>
      <c r="K391" s="469"/>
      <c r="L391" s="279" t="str">
        <f t="shared" si="5"/>
        <v>-</v>
      </c>
      <c r="M391" s="16" t="str">
        <f t="shared" si="8"/>
        <v/>
      </c>
    </row>
    <row r="392" spans="3:13" outlineLevel="1" x14ac:dyDescent="0.3">
      <c r="C392" s="383">
        <v>70</v>
      </c>
      <c r="D392" s="519"/>
      <c r="E392" s="519"/>
      <c r="F392" s="519"/>
      <c r="G392" s="513"/>
      <c r="H392" s="513"/>
      <c r="I392" s="513"/>
      <c r="J392" s="469"/>
      <c r="K392" s="469"/>
      <c r="L392" s="279" t="str">
        <f t="shared" si="5"/>
        <v>-</v>
      </c>
      <c r="M392" s="16" t="str">
        <f t="shared" si="8"/>
        <v/>
      </c>
    </row>
    <row r="393" spans="3:13" outlineLevel="1" x14ac:dyDescent="0.3">
      <c r="C393" s="383">
        <v>71</v>
      </c>
      <c r="D393" s="519"/>
      <c r="E393" s="519"/>
      <c r="F393" s="519"/>
      <c r="G393" s="513"/>
      <c r="H393" s="513"/>
      <c r="I393" s="513"/>
      <c r="J393" s="469"/>
      <c r="K393" s="469"/>
      <c r="L393" s="279" t="str">
        <f t="shared" si="5"/>
        <v>-</v>
      </c>
      <c r="M393" s="16" t="str">
        <f t="shared" si="8"/>
        <v/>
      </c>
    </row>
    <row r="394" spans="3:13" outlineLevel="1" x14ac:dyDescent="0.3">
      <c r="C394" s="383">
        <v>72</v>
      </c>
      <c r="D394" s="519"/>
      <c r="E394" s="519"/>
      <c r="F394" s="519"/>
      <c r="G394" s="513"/>
      <c r="H394" s="513"/>
      <c r="I394" s="513"/>
      <c r="J394" s="469"/>
      <c r="K394" s="469"/>
      <c r="L394" s="279" t="str">
        <f t="shared" si="5"/>
        <v>-</v>
      </c>
      <c r="M394" s="16" t="str">
        <f t="shared" si="8"/>
        <v/>
      </c>
    </row>
    <row r="395" spans="3:13" outlineLevel="1" x14ac:dyDescent="0.3">
      <c r="C395" s="383">
        <v>73</v>
      </c>
      <c r="D395" s="519"/>
      <c r="E395" s="519"/>
      <c r="F395" s="519"/>
      <c r="G395" s="513"/>
      <c r="H395" s="513"/>
      <c r="I395" s="513"/>
      <c r="J395" s="469"/>
      <c r="K395" s="469"/>
      <c r="L395" s="279" t="str">
        <f t="shared" si="5"/>
        <v>-</v>
      </c>
      <c r="M395" s="16" t="str">
        <f t="shared" si="8"/>
        <v/>
      </c>
    </row>
    <row r="396" spans="3:13" outlineLevel="1" x14ac:dyDescent="0.3">
      <c r="C396" s="383">
        <v>74</v>
      </c>
      <c r="D396" s="519"/>
      <c r="E396" s="519"/>
      <c r="F396" s="519"/>
      <c r="G396" s="513"/>
      <c r="H396" s="513"/>
      <c r="I396" s="513"/>
      <c r="J396" s="469"/>
      <c r="K396" s="469"/>
      <c r="L396" s="279" t="str">
        <f t="shared" si="5"/>
        <v>-</v>
      </c>
      <c r="M396" s="16" t="str">
        <f t="shared" si="8"/>
        <v/>
      </c>
    </row>
    <row r="397" spans="3:13" outlineLevel="1" x14ac:dyDescent="0.3">
      <c r="C397" s="383">
        <v>75</v>
      </c>
      <c r="D397" s="519"/>
      <c r="E397" s="519"/>
      <c r="F397" s="519"/>
      <c r="G397" s="513"/>
      <c r="H397" s="513"/>
      <c r="I397" s="513"/>
      <c r="J397" s="469"/>
      <c r="K397" s="469"/>
      <c r="L397" s="279" t="str">
        <f t="shared" si="5"/>
        <v>-</v>
      </c>
      <c r="M397" s="16" t="str">
        <f t="shared" si="8"/>
        <v/>
      </c>
    </row>
    <row r="398" spans="3:13" outlineLevel="1" x14ac:dyDescent="0.3">
      <c r="C398" s="383">
        <v>76</v>
      </c>
      <c r="D398" s="519"/>
      <c r="E398" s="519"/>
      <c r="F398" s="519"/>
      <c r="G398" s="513"/>
      <c r="H398" s="513"/>
      <c r="I398" s="513"/>
      <c r="J398" s="469"/>
      <c r="K398" s="469"/>
      <c r="L398" s="279" t="str">
        <f t="shared" si="5"/>
        <v>-</v>
      </c>
      <c r="M398" s="16" t="str">
        <f t="shared" si="8"/>
        <v/>
      </c>
    </row>
    <row r="399" spans="3:13" outlineLevel="1" x14ac:dyDescent="0.3">
      <c r="C399" s="383">
        <v>77</v>
      </c>
      <c r="D399" s="519"/>
      <c r="E399" s="519"/>
      <c r="F399" s="519"/>
      <c r="G399" s="513"/>
      <c r="H399" s="513"/>
      <c r="I399" s="513"/>
      <c r="J399" s="469"/>
      <c r="K399" s="469"/>
      <c r="L399" s="279" t="str">
        <f t="shared" si="5"/>
        <v>-</v>
      </c>
      <c r="M399" s="16" t="str">
        <f t="shared" si="8"/>
        <v/>
      </c>
    </row>
    <row r="400" spans="3:13" outlineLevel="1" x14ac:dyDescent="0.3">
      <c r="C400" s="383">
        <v>78</v>
      </c>
      <c r="D400" s="519"/>
      <c r="E400" s="519"/>
      <c r="F400" s="519"/>
      <c r="G400" s="513"/>
      <c r="H400" s="513"/>
      <c r="I400" s="513"/>
      <c r="J400" s="469"/>
      <c r="K400" s="469"/>
      <c r="L400" s="279" t="str">
        <f t="shared" si="5"/>
        <v>-</v>
      </c>
      <c r="M400" s="16" t="str">
        <f t="shared" si="8"/>
        <v/>
      </c>
    </row>
    <row r="401" spans="3:13" outlineLevel="1" x14ac:dyDescent="0.3">
      <c r="C401" s="383">
        <v>79</v>
      </c>
      <c r="D401" s="519"/>
      <c r="E401" s="519"/>
      <c r="F401" s="519"/>
      <c r="G401" s="513"/>
      <c r="H401" s="513"/>
      <c r="I401" s="513"/>
      <c r="J401" s="469"/>
      <c r="K401" s="469"/>
      <c r="L401" s="279" t="str">
        <f t="shared" si="5"/>
        <v>-</v>
      </c>
      <c r="M401" s="16" t="str">
        <f t="shared" si="8"/>
        <v/>
      </c>
    </row>
    <row r="402" spans="3:13" outlineLevel="1" x14ac:dyDescent="0.3">
      <c r="C402" s="383">
        <v>80</v>
      </c>
      <c r="D402" s="519"/>
      <c r="E402" s="519"/>
      <c r="F402" s="519"/>
      <c r="G402" s="513"/>
      <c r="H402" s="513"/>
      <c r="I402" s="513"/>
      <c r="J402" s="469"/>
      <c r="K402" s="469"/>
      <c r="L402" s="279" t="str">
        <f t="shared" si="5"/>
        <v>-</v>
      </c>
      <c r="M402" s="16" t="str">
        <f t="shared" si="8"/>
        <v/>
      </c>
    </row>
    <row r="403" spans="3:13" outlineLevel="1" x14ac:dyDescent="0.3">
      <c r="C403" s="383">
        <v>81</v>
      </c>
      <c r="D403" s="519"/>
      <c r="E403" s="519"/>
      <c r="F403" s="519"/>
      <c r="G403" s="513"/>
      <c r="H403" s="513"/>
      <c r="I403" s="513"/>
      <c r="J403" s="469"/>
      <c r="K403" s="469"/>
      <c r="L403" s="279" t="str">
        <f t="shared" si="5"/>
        <v>-</v>
      </c>
      <c r="M403" s="16" t="str">
        <f t="shared" si="8"/>
        <v/>
      </c>
    </row>
    <row r="404" spans="3:13" outlineLevel="1" x14ac:dyDescent="0.3">
      <c r="C404" s="383">
        <v>82</v>
      </c>
      <c r="D404" s="519"/>
      <c r="E404" s="519"/>
      <c r="F404" s="519"/>
      <c r="G404" s="513"/>
      <c r="H404" s="513"/>
      <c r="I404" s="513"/>
      <c r="J404" s="469"/>
      <c r="K404" s="469"/>
      <c r="L404" s="279" t="str">
        <f t="shared" si="5"/>
        <v>-</v>
      </c>
      <c r="M404" s="16" t="str">
        <f t="shared" si="8"/>
        <v/>
      </c>
    </row>
    <row r="405" spans="3:13" outlineLevel="1" x14ac:dyDescent="0.3">
      <c r="C405" s="383">
        <v>83</v>
      </c>
      <c r="D405" s="519"/>
      <c r="E405" s="519"/>
      <c r="F405" s="519"/>
      <c r="G405" s="513"/>
      <c r="H405" s="513"/>
      <c r="I405" s="513"/>
      <c r="J405" s="469"/>
      <c r="K405" s="469"/>
      <c r="L405" s="279" t="str">
        <f t="shared" si="5"/>
        <v>-</v>
      </c>
      <c r="M405" s="16" t="str">
        <f t="shared" si="8"/>
        <v/>
      </c>
    </row>
    <row r="406" spans="3:13" outlineLevel="1" x14ac:dyDescent="0.3">
      <c r="C406" s="383">
        <v>84</v>
      </c>
      <c r="D406" s="519"/>
      <c r="E406" s="519"/>
      <c r="F406" s="519"/>
      <c r="G406" s="513"/>
      <c r="H406" s="513"/>
      <c r="I406" s="513"/>
      <c r="J406" s="469"/>
      <c r="K406" s="469"/>
      <c r="L406" s="279" t="str">
        <f t="shared" si="5"/>
        <v>-</v>
      </c>
      <c r="M406" s="16" t="str">
        <f t="shared" si="8"/>
        <v/>
      </c>
    </row>
    <row r="407" spans="3:13" outlineLevel="1" x14ac:dyDescent="0.3">
      <c r="C407" s="383">
        <v>85</v>
      </c>
      <c r="D407" s="519"/>
      <c r="E407" s="519"/>
      <c r="F407" s="519"/>
      <c r="G407" s="513"/>
      <c r="H407" s="513"/>
      <c r="I407" s="513"/>
      <c r="J407" s="469"/>
      <c r="K407" s="469"/>
      <c r="L407" s="279" t="str">
        <f t="shared" si="5"/>
        <v>-</v>
      </c>
      <c r="M407" s="16" t="str">
        <f t="shared" si="8"/>
        <v/>
      </c>
    </row>
    <row r="408" spans="3:13" outlineLevel="1" x14ac:dyDescent="0.3">
      <c r="C408" s="383">
        <v>86</v>
      </c>
      <c r="D408" s="519"/>
      <c r="E408" s="519"/>
      <c r="F408" s="519"/>
      <c r="G408" s="513"/>
      <c r="H408" s="513"/>
      <c r="I408" s="513"/>
      <c r="J408" s="469"/>
      <c r="K408" s="469"/>
      <c r="L408" s="279" t="str">
        <f t="shared" si="5"/>
        <v>-</v>
      </c>
      <c r="M408" s="16" t="str">
        <f t="shared" si="8"/>
        <v/>
      </c>
    </row>
    <row r="409" spans="3:13" outlineLevel="1" x14ac:dyDescent="0.3">
      <c r="C409" s="383">
        <v>87</v>
      </c>
      <c r="D409" s="519"/>
      <c r="E409" s="519"/>
      <c r="F409" s="519"/>
      <c r="G409" s="513"/>
      <c r="H409" s="513"/>
      <c r="I409" s="513"/>
      <c r="J409" s="469"/>
      <c r="K409" s="469"/>
      <c r="L409" s="279" t="str">
        <f t="shared" si="5"/>
        <v>-</v>
      </c>
      <c r="M409" s="16" t="str">
        <f t="shared" si="8"/>
        <v/>
      </c>
    </row>
    <row r="410" spans="3:13" outlineLevel="1" x14ac:dyDescent="0.3">
      <c r="C410" s="383">
        <v>88</v>
      </c>
      <c r="D410" s="519"/>
      <c r="E410" s="519"/>
      <c r="F410" s="519"/>
      <c r="G410" s="513"/>
      <c r="H410" s="513"/>
      <c r="I410" s="513"/>
      <c r="J410" s="469"/>
      <c r="K410" s="469"/>
      <c r="L410" s="279" t="str">
        <f t="shared" si="5"/>
        <v>-</v>
      </c>
      <c r="M410" s="16" t="str">
        <f t="shared" si="8"/>
        <v/>
      </c>
    </row>
    <row r="411" spans="3:13" outlineLevel="1" x14ac:dyDescent="0.3">
      <c r="C411" s="383">
        <v>89</v>
      </c>
      <c r="D411" s="519"/>
      <c r="E411" s="519"/>
      <c r="F411" s="519"/>
      <c r="G411" s="513"/>
      <c r="H411" s="513"/>
      <c r="I411" s="513"/>
      <c r="J411" s="469"/>
      <c r="K411" s="469"/>
      <c r="L411" s="279" t="str">
        <f t="shared" si="5"/>
        <v>-</v>
      </c>
      <c r="M411" s="16" t="str">
        <f t="shared" si="8"/>
        <v/>
      </c>
    </row>
    <row r="412" spans="3:13" outlineLevel="1" x14ac:dyDescent="0.3">
      <c r="C412" s="383">
        <v>90</v>
      </c>
      <c r="D412" s="519"/>
      <c r="E412" s="519"/>
      <c r="F412" s="519"/>
      <c r="G412" s="513"/>
      <c r="H412" s="513"/>
      <c r="I412" s="513"/>
      <c r="J412" s="469"/>
      <c r="K412" s="469"/>
      <c r="L412" s="279" t="str">
        <f t="shared" si="5"/>
        <v>-</v>
      </c>
      <c r="M412" s="16" t="str">
        <f t="shared" si="8"/>
        <v/>
      </c>
    </row>
    <row r="413" spans="3:13" outlineLevel="1" x14ac:dyDescent="0.3">
      <c r="C413" s="383">
        <v>91</v>
      </c>
      <c r="D413" s="519"/>
      <c r="E413" s="519"/>
      <c r="F413" s="519"/>
      <c r="G413" s="513"/>
      <c r="H413" s="513"/>
      <c r="I413" s="513"/>
      <c r="J413" s="469"/>
      <c r="K413" s="469"/>
      <c r="L413" s="279" t="str">
        <f t="shared" si="5"/>
        <v>-</v>
      </c>
      <c r="M413" s="16" t="str">
        <f t="shared" si="8"/>
        <v/>
      </c>
    </row>
    <row r="414" spans="3:13" outlineLevel="1" x14ac:dyDescent="0.3">
      <c r="C414" s="383">
        <v>92</v>
      </c>
      <c r="D414" s="519"/>
      <c r="E414" s="519"/>
      <c r="F414" s="519"/>
      <c r="G414" s="513"/>
      <c r="H414" s="513"/>
      <c r="I414" s="513"/>
      <c r="J414" s="469"/>
      <c r="K414" s="469"/>
      <c r="L414" s="279" t="str">
        <f t="shared" si="5"/>
        <v>-</v>
      </c>
      <c r="M414" s="16" t="str">
        <f t="shared" si="8"/>
        <v/>
      </c>
    </row>
    <row r="415" spans="3:13" outlineLevel="1" x14ac:dyDescent="0.3">
      <c r="C415" s="383">
        <v>93</v>
      </c>
      <c r="D415" s="519"/>
      <c r="E415" s="519"/>
      <c r="F415" s="519"/>
      <c r="G415" s="513"/>
      <c r="H415" s="513"/>
      <c r="I415" s="513"/>
      <c r="J415" s="469"/>
      <c r="K415" s="469"/>
      <c r="L415" s="279" t="str">
        <f t="shared" si="5"/>
        <v>-</v>
      </c>
      <c r="M415" s="16" t="str">
        <f t="shared" si="8"/>
        <v/>
      </c>
    </row>
    <row r="416" spans="3:13" outlineLevel="1" x14ac:dyDescent="0.3">
      <c r="C416" s="383">
        <v>94</v>
      </c>
      <c r="D416" s="519"/>
      <c r="E416" s="519"/>
      <c r="F416" s="519"/>
      <c r="G416" s="513"/>
      <c r="H416" s="513"/>
      <c r="I416" s="513"/>
      <c r="J416" s="469"/>
      <c r="K416" s="469"/>
      <c r="L416" s="279" t="str">
        <f t="shared" si="5"/>
        <v>-</v>
      </c>
      <c r="M416" s="16" t="str">
        <f t="shared" si="8"/>
        <v/>
      </c>
    </row>
    <row r="417" spans="3:13" outlineLevel="1" x14ac:dyDescent="0.3">
      <c r="C417" s="383">
        <v>95</v>
      </c>
      <c r="D417" s="519"/>
      <c r="E417" s="519"/>
      <c r="F417" s="519"/>
      <c r="G417" s="513"/>
      <c r="H417" s="513"/>
      <c r="I417" s="513"/>
      <c r="J417" s="469"/>
      <c r="K417" s="469"/>
      <c r="L417" s="279" t="str">
        <f t="shared" si="5"/>
        <v>-</v>
      </c>
      <c r="M417" s="16" t="str">
        <f t="shared" si="8"/>
        <v/>
      </c>
    </row>
    <row r="418" spans="3:13" outlineLevel="1" x14ac:dyDescent="0.3">
      <c r="C418" s="383">
        <v>96</v>
      </c>
      <c r="D418" s="519"/>
      <c r="E418" s="519"/>
      <c r="F418" s="519"/>
      <c r="G418" s="513"/>
      <c r="H418" s="513"/>
      <c r="I418" s="513"/>
      <c r="J418" s="469"/>
      <c r="K418" s="469"/>
      <c r="L418" s="279" t="str">
        <f t="shared" si="5"/>
        <v>-</v>
      </c>
      <c r="M418" s="16" t="str">
        <f t="shared" si="8"/>
        <v/>
      </c>
    </row>
    <row r="419" spans="3:13" outlineLevel="1" x14ac:dyDescent="0.3">
      <c r="C419" s="383">
        <v>97</v>
      </c>
      <c r="D419" s="519"/>
      <c r="E419" s="519"/>
      <c r="F419" s="519"/>
      <c r="G419" s="513"/>
      <c r="H419" s="513"/>
      <c r="I419" s="513"/>
      <c r="J419" s="469"/>
      <c r="K419" s="469"/>
      <c r="L419" s="279" t="str">
        <f t="shared" si="5"/>
        <v>-</v>
      </c>
      <c r="M419" s="16" t="str">
        <f t="shared" si="8"/>
        <v/>
      </c>
    </row>
    <row r="420" spans="3:13" outlineLevel="1" x14ac:dyDescent="0.3">
      <c r="C420" s="383">
        <v>98</v>
      </c>
      <c r="D420" s="519"/>
      <c r="E420" s="519"/>
      <c r="F420" s="519"/>
      <c r="G420" s="513"/>
      <c r="H420" s="513"/>
      <c r="I420" s="513"/>
      <c r="J420" s="469"/>
      <c r="K420" s="469"/>
      <c r="L420" s="279" t="str">
        <f t="shared" si="5"/>
        <v>-</v>
      </c>
      <c r="M420" s="16" t="str">
        <f t="shared" si="8"/>
        <v/>
      </c>
    </row>
    <row r="421" spans="3:13" outlineLevel="1" x14ac:dyDescent="0.3">
      <c r="C421" s="383">
        <v>99</v>
      </c>
      <c r="D421" s="519"/>
      <c r="E421" s="519"/>
      <c r="F421" s="519"/>
      <c r="G421" s="513"/>
      <c r="H421" s="513"/>
      <c r="I421" s="513"/>
      <c r="J421" s="469"/>
      <c r="K421" s="469"/>
      <c r="L421" s="279" t="str">
        <f t="shared" si="5"/>
        <v>-</v>
      </c>
      <c r="M421" s="16" t="str">
        <f t="shared" si="8"/>
        <v/>
      </c>
    </row>
    <row r="422" spans="3:13" ht="15" outlineLevel="1" thickBot="1" x14ac:dyDescent="0.35">
      <c r="C422" s="383">
        <v>100</v>
      </c>
      <c r="D422" s="739"/>
      <c r="E422" s="739"/>
      <c r="F422" s="739"/>
      <c r="G422" s="741"/>
      <c r="H422" s="741"/>
      <c r="I422" s="741"/>
      <c r="J422" s="284"/>
      <c r="K422" s="284"/>
      <c r="L422" s="281" t="str">
        <f t="shared" si="5"/>
        <v>-</v>
      </c>
      <c r="M422" s="16" t="str">
        <f t="shared" si="8"/>
        <v/>
      </c>
    </row>
    <row r="423" spans="3:13" x14ac:dyDescent="0.3">
      <c r="C423" s="720" t="str">
        <f>template_label_total_amount_of_waste_generated</f>
        <v>Importo totale di rifiuti generati</v>
      </c>
      <c r="D423" s="775" t="str">
        <f>template_label_total_hazardous_waste_generated_mass</f>
        <v>Totale rifiuti pericolosi generati (massa)</v>
      </c>
      <c r="E423" s="775"/>
      <c r="F423" s="776"/>
      <c r="G423" s="771" t="s">
        <v>2757</v>
      </c>
      <c r="H423" s="771"/>
      <c r="I423" s="772"/>
      <c r="J423" s="807">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1200</v>
      </c>
      <c r="K423" s="807"/>
      <c r="L423" s="808"/>
      <c r="M423" s="16" t="str" cm="1">
        <f t="array" ref="M423">IF(G423="",
    IF(SUMPRODUCT(--((G323:G422="metric tonnes (t)")+(G323:G422="kilograms (kg)")))&gt;0,
        template_label_missing_value,
        ""
    ),
    IF(SUMPRODUCT(--((G323:G422="metric tonnes (t)")+(G323:G422="kilograms (kg)")))&gt;0,
        template_label_ok,
        ""
    )
)</f>
        <v>OK</v>
      </c>
    </row>
    <row r="424" spans="3:13" x14ac:dyDescent="0.3">
      <c r="C424" s="721"/>
      <c r="D424" s="516" t="str">
        <f>template_label_total_non_hazardous_waste_generated_mass</f>
        <v>Totale rifiuti non pericolosi generati (massa)</v>
      </c>
      <c r="E424" s="516"/>
      <c r="F424" s="517"/>
      <c r="G424" s="766" t="str">
        <f>IF($G$423="", "-", $G$423)</f>
        <v>kilograms (kg)</v>
      </c>
      <c r="H424" s="766"/>
      <c r="I424" s="768"/>
      <c r="J424" s="688">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2850000</v>
      </c>
      <c r="K424" s="688"/>
      <c r="L424" s="765"/>
    </row>
    <row r="425" spans="3:13" ht="15" thickBot="1" x14ac:dyDescent="0.35">
      <c r="C425" s="721"/>
      <c r="D425" s="773" t="str">
        <f>template_label_total_waste_generated_mass</f>
        <v>Totale rifiuti generati (massa)</v>
      </c>
      <c r="E425" s="773"/>
      <c r="F425" s="774"/>
      <c r="G425" s="766" t="str">
        <f>IF($G$423="", "-", $G$423)</f>
        <v>kilograms (kg)</v>
      </c>
      <c r="H425" s="767"/>
      <c r="I425" s="770"/>
      <c r="J425" s="546">
        <f>IF(AND(J423="-",J424="-"),"-",SUM(J423:L424))</f>
        <v>2851200</v>
      </c>
      <c r="K425" s="546"/>
      <c r="L425" s="764"/>
    </row>
    <row r="426" spans="3:13" x14ac:dyDescent="0.3">
      <c r="C426" s="721"/>
      <c r="D426" s="514" t="str">
        <f>template_label_total_hazardous_waste_generated_volume</f>
        <v>Totale rifiuti pericolosi generati (volume)</v>
      </c>
      <c r="E426" s="514"/>
      <c r="F426" s="515"/>
      <c r="G426" s="518" t="str">
        <f>template_label_cubic_meters</f>
        <v>metri cubi (m³)</v>
      </c>
      <c r="H426" s="518"/>
      <c r="I426" s="518"/>
      <c r="J426" s="810">
        <f>IF(
    AND(
        COUNTA(D323:D422)=0,
        COUNTA(J323:J422)=0,
        COUNTA(K323:K422)=0
    ),
    "-",
    SUMIFS(L323:L422, D323:D422,"* Hazardous *", G323:G422,"*cubic meters (m3)*")
)</f>
        <v>100</v>
      </c>
      <c r="K426" s="810"/>
      <c r="L426" s="811"/>
    </row>
    <row r="427" spans="3:13" x14ac:dyDescent="0.3">
      <c r="C427" s="721"/>
      <c r="D427" s="516" t="str">
        <f>template_label_total_non_hazardous_waste_generated_volume</f>
        <v>Totale rifiuti non pericolosi generati (volume)</v>
      </c>
      <c r="E427" s="516"/>
      <c r="F427" s="517"/>
      <c r="G427" s="766" t="str">
        <f>template_label_cubic_meters</f>
        <v>metri cubi (m³)</v>
      </c>
      <c r="H427" s="766"/>
      <c r="I427" s="766"/>
      <c r="J427" s="688">
        <f>IF(
    AND(
        COUNTA(D323:D422)=0,
        COUNTA(J323:J422)=0,
        COUNTA(K323:K422)=0
    ),
    "-",
    SUMIFS(L323:L422, D323:D422,"*Non-Hazardous*", G323:G422,"*cubic meters (m3)*")
)</f>
        <v>5000</v>
      </c>
      <c r="K427" s="688"/>
      <c r="L427" s="765"/>
    </row>
    <row r="428" spans="3:13" ht="15" thickBot="1" x14ac:dyDescent="0.35">
      <c r="C428" s="722"/>
      <c r="D428" s="773" t="str">
        <f>template_label_total_waste_generated_volume</f>
        <v>Totale rifiuti generati (volume)</v>
      </c>
      <c r="E428" s="773"/>
      <c r="F428" s="774"/>
      <c r="G428" s="767" t="str">
        <f>template_label_cubic_meters</f>
        <v>metri cubi (m³)</v>
      </c>
      <c r="H428" s="767"/>
      <c r="I428" s="767"/>
      <c r="J428" s="546">
        <f>IF(AND(J426="-",J427="-"),"-",SUM(J426:L427))</f>
        <v>5100</v>
      </c>
      <c r="K428" s="546"/>
      <c r="L428" s="764"/>
    </row>
    <row r="429" spans="3:13" ht="15" thickBot="1" x14ac:dyDescent="0.35"/>
    <row r="430" spans="3:13" x14ac:dyDescent="0.3">
      <c r="C430" s="596" t="str">
        <f>template_label_b7_annual_mass_flow_of_relevant_materials_used&amp;" "&amp;template_label_from&amp;" "&amp;template_starting_date_display&amp;" "&amp;template_label_to&amp;" "&amp;template_ending_date_display&amp;" "&amp;template_label_if_applicable</f>
        <v>B7 – Flusso di massa annuo dei materiali pertinenti utilizzati da 2024-01-01 a 2024-12-31 [Se applicabile]</v>
      </c>
      <c r="D430" s="597"/>
      <c r="E430" s="597"/>
      <c r="F430" s="597"/>
      <c r="G430" s="597"/>
      <c r="H430" s="597"/>
      <c r="I430" s="597"/>
      <c r="J430" s="598"/>
    </row>
    <row r="431" spans="3:13" x14ac:dyDescent="0.3">
      <c r="C431" s="599" t="s">
        <v>3749</v>
      </c>
      <c r="D431" s="600"/>
      <c r="E431" s="600"/>
      <c r="F431" s="600"/>
      <c r="G431" s="600"/>
      <c r="H431" s="600"/>
      <c r="I431" s="600"/>
      <c r="J431" s="601"/>
    </row>
    <row r="432" spans="3:13" x14ac:dyDescent="0.3">
      <c r="C432" s="520" t="s">
        <v>5653</v>
      </c>
      <c r="D432" s="521"/>
      <c r="E432" s="521"/>
      <c r="F432" s="521"/>
      <c r="G432" s="521"/>
      <c r="H432" s="521"/>
      <c r="I432" s="521"/>
      <c r="J432" s="522"/>
      <c r="K432" s="11"/>
      <c r="L432" s="11"/>
    </row>
    <row r="433" spans="3:12" ht="30" customHeight="1" x14ac:dyDescent="0.3">
      <c r="C433" s="683" t="str">
        <f>template_label_does_the_undertaking_operate_in_a_sector_using_significant_material_flows</f>
        <v>L'impresa opera in un settore che utilizza flussi significativi di materiali (ad esempio industria manifatturiera, costruzione, imballaggio o altro)?</v>
      </c>
      <c r="D433" s="802"/>
      <c r="E433" s="802"/>
      <c r="F433" s="803"/>
      <c r="G433" s="804" t="b">
        <v>1</v>
      </c>
      <c r="H433" s="805"/>
      <c r="I433" s="805"/>
      <c r="J433" s="806"/>
    </row>
    <row r="434" spans="3:12" ht="43.5" customHeight="1" x14ac:dyDescent="0.3">
      <c r="C434" s="142" t="str">
        <f>template_label_row_id</f>
        <v>ID Riga</v>
      </c>
      <c r="D434" s="689" t="str">
        <f>template_label_name_of_the_key_material</f>
        <v>Nome del materiale chiave</v>
      </c>
      <c r="E434" s="689"/>
      <c r="F434" s="689"/>
      <c r="G434" s="689" t="str">
        <f>template_label_mass_volume</f>
        <v>Massa / Volume</v>
      </c>
      <c r="H434" s="689"/>
      <c r="I434" s="689"/>
      <c r="J434" s="107" t="str">
        <f>template_label_unit_of_measurement</f>
        <v>Unità di misura</v>
      </c>
    </row>
    <row r="435" spans="3:12" x14ac:dyDescent="0.3">
      <c r="C435" s="231">
        <v>1</v>
      </c>
      <c r="D435" s="523" t="s">
        <v>9556</v>
      </c>
      <c r="E435" s="523"/>
      <c r="F435" s="523"/>
      <c r="G435" s="509">
        <v>1500</v>
      </c>
      <c r="H435" s="509"/>
      <c r="I435" s="509"/>
      <c r="J435" s="145" t="s">
        <v>2757</v>
      </c>
      <c r="K435" s="17" t="str">
        <f>IF(AND(G433=TRUE,D435&lt;&gt;"",G435&lt;&gt;"",J435&lt;&gt;""),
    template_label_ok,
    IF(AND(G433=TRUE,OR(D435="",G435="",J435="")),
        template_label_missing_value,
        ""
    )
)</f>
        <v>OK</v>
      </c>
    </row>
    <row r="436" spans="3:12" x14ac:dyDescent="0.3">
      <c r="C436" s="231">
        <v>2</v>
      </c>
      <c r="D436" s="665" t="s">
        <v>9557</v>
      </c>
      <c r="E436" s="665"/>
      <c r="F436" s="665"/>
      <c r="G436" s="509">
        <v>800</v>
      </c>
      <c r="H436" s="509"/>
      <c r="I436" s="509"/>
      <c r="J436" s="145" t="s">
        <v>9555</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665"/>
      <c r="E437" s="665"/>
      <c r="F437" s="665"/>
      <c r="G437" s="509"/>
      <c r="H437" s="509"/>
      <c r="I437" s="509"/>
      <c r="J437" s="145"/>
      <c r="K437" s="17" t="str">
        <f t="shared" si="9"/>
        <v/>
      </c>
      <c r="L437"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438" spans="3:12" hidden="1" outlineLevel="2" x14ac:dyDescent="0.3">
      <c r="C438" s="231">
        <v>4</v>
      </c>
      <c r="D438" s="665"/>
      <c r="E438" s="665"/>
      <c r="F438" s="665"/>
      <c r="G438" s="509"/>
      <c r="H438" s="509"/>
      <c r="I438" s="509"/>
      <c r="J438" s="145"/>
      <c r="K438" s="17" t="str">
        <f t="shared" si="9"/>
        <v/>
      </c>
    </row>
    <row r="439" spans="3:12" hidden="1" outlineLevel="2" x14ac:dyDescent="0.3">
      <c r="C439" s="231">
        <v>5</v>
      </c>
      <c r="D439" s="665"/>
      <c r="E439" s="665"/>
      <c r="F439" s="665"/>
      <c r="G439" s="509"/>
      <c r="H439" s="509"/>
      <c r="I439" s="509"/>
      <c r="J439" s="145"/>
      <c r="K439" s="17" t="str">
        <f t="shared" si="9"/>
        <v/>
      </c>
    </row>
    <row r="440" spans="3:12" hidden="1" outlineLevel="2" x14ac:dyDescent="0.3">
      <c r="C440" s="231">
        <v>6</v>
      </c>
      <c r="D440" s="523"/>
      <c r="E440" s="523"/>
      <c r="F440" s="523"/>
      <c r="G440" s="509"/>
      <c r="H440" s="509"/>
      <c r="I440" s="509"/>
      <c r="J440" s="145"/>
      <c r="K440" s="17" t="str">
        <f t="shared" si="9"/>
        <v/>
      </c>
    </row>
    <row r="441" spans="3:12" hidden="1" outlineLevel="2" x14ac:dyDescent="0.3">
      <c r="C441" s="231">
        <v>7</v>
      </c>
      <c r="D441" s="523"/>
      <c r="E441" s="523"/>
      <c r="F441" s="523"/>
      <c r="G441" s="509"/>
      <c r="H441" s="509"/>
      <c r="I441" s="509"/>
      <c r="J441" s="145"/>
      <c r="K441" s="17" t="str">
        <f t="shared" si="9"/>
        <v/>
      </c>
    </row>
    <row r="442" spans="3:12" hidden="1" outlineLevel="2" x14ac:dyDescent="0.3">
      <c r="C442" s="231">
        <v>8</v>
      </c>
      <c r="D442" s="523"/>
      <c r="E442" s="523"/>
      <c r="F442" s="523"/>
      <c r="G442" s="509"/>
      <c r="H442" s="509"/>
      <c r="I442" s="509"/>
      <c r="J442" s="145"/>
      <c r="K442" s="17" t="str">
        <f t="shared" si="9"/>
        <v/>
      </c>
    </row>
    <row r="443" spans="3:12" hidden="1" outlineLevel="2" x14ac:dyDescent="0.3">
      <c r="C443" s="231">
        <v>9</v>
      </c>
      <c r="D443" s="523"/>
      <c r="E443" s="523"/>
      <c r="F443" s="523"/>
      <c r="G443" s="509"/>
      <c r="H443" s="509"/>
      <c r="I443" s="509"/>
      <c r="J443" s="145"/>
      <c r="K443" s="17" t="str">
        <f t="shared" si="9"/>
        <v/>
      </c>
    </row>
    <row r="444" spans="3:12" hidden="1" outlineLevel="2" x14ac:dyDescent="0.3">
      <c r="C444" s="231">
        <v>10</v>
      </c>
      <c r="D444" s="523"/>
      <c r="E444" s="523"/>
      <c r="F444" s="523"/>
      <c r="G444" s="509"/>
      <c r="H444" s="509"/>
      <c r="I444" s="509"/>
      <c r="J444" s="145"/>
      <c r="K444" s="17" t="str">
        <f t="shared" si="9"/>
        <v/>
      </c>
    </row>
    <row r="445" spans="3:12" hidden="1" outlineLevel="2" x14ac:dyDescent="0.3">
      <c r="C445" s="231">
        <v>11</v>
      </c>
      <c r="D445" s="510"/>
      <c r="E445" s="511"/>
      <c r="F445" s="512"/>
      <c r="G445" s="509"/>
      <c r="H445" s="509"/>
      <c r="I445" s="509"/>
      <c r="J445" s="145"/>
      <c r="K445" s="17" t="str">
        <f t="shared" si="9"/>
        <v/>
      </c>
    </row>
    <row r="446" spans="3:12" hidden="1" outlineLevel="2" x14ac:dyDescent="0.3">
      <c r="C446" s="231">
        <v>12</v>
      </c>
      <c r="D446" s="510"/>
      <c r="E446" s="511"/>
      <c r="F446" s="512"/>
      <c r="G446" s="509"/>
      <c r="H446" s="509"/>
      <c r="I446" s="509"/>
      <c r="J446" s="145"/>
      <c r="K446" s="17" t="str">
        <f t="shared" si="9"/>
        <v/>
      </c>
    </row>
    <row r="447" spans="3:12" hidden="1" outlineLevel="2" x14ac:dyDescent="0.3">
      <c r="C447" s="231">
        <v>13</v>
      </c>
      <c r="D447" s="510"/>
      <c r="E447" s="511"/>
      <c r="F447" s="512"/>
      <c r="G447" s="509"/>
      <c r="H447" s="509"/>
      <c r="I447" s="509"/>
      <c r="J447" s="145"/>
      <c r="K447" s="17" t="str">
        <f t="shared" si="9"/>
        <v/>
      </c>
    </row>
    <row r="448" spans="3:12" hidden="1" outlineLevel="2" x14ac:dyDescent="0.3">
      <c r="C448" s="231">
        <v>14</v>
      </c>
      <c r="D448" s="510"/>
      <c r="E448" s="511"/>
      <c r="F448" s="512"/>
      <c r="G448" s="509"/>
      <c r="H448" s="509"/>
      <c r="I448" s="509"/>
      <c r="J448" s="145"/>
      <c r="K448" s="17" t="str">
        <f t="shared" si="9"/>
        <v/>
      </c>
    </row>
    <row r="449" spans="3:11" hidden="1" outlineLevel="2" x14ac:dyDescent="0.3">
      <c r="C449" s="231">
        <v>15</v>
      </c>
      <c r="D449" s="510"/>
      <c r="E449" s="511"/>
      <c r="F449" s="512"/>
      <c r="G449" s="509"/>
      <c r="H449" s="509"/>
      <c r="I449" s="509"/>
      <c r="J449" s="145"/>
      <c r="K449" s="17" t="str">
        <f t="shared" si="9"/>
        <v/>
      </c>
    </row>
    <row r="450" spans="3:11" hidden="1" outlineLevel="2" x14ac:dyDescent="0.3">
      <c r="C450" s="231">
        <v>16</v>
      </c>
      <c r="D450" s="510"/>
      <c r="E450" s="511"/>
      <c r="F450" s="512"/>
      <c r="G450" s="509"/>
      <c r="H450" s="509"/>
      <c r="I450" s="509"/>
      <c r="J450" s="145"/>
      <c r="K450" s="17" t="str">
        <f t="shared" si="9"/>
        <v/>
      </c>
    </row>
    <row r="451" spans="3:11" hidden="1" outlineLevel="2" x14ac:dyDescent="0.3">
      <c r="C451" s="231">
        <v>17</v>
      </c>
      <c r="D451" s="510"/>
      <c r="E451" s="511"/>
      <c r="F451" s="512"/>
      <c r="G451" s="509"/>
      <c r="H451" s="509"/>
      <c r="I451" s="509"/>
      <c r="J451" s="145"/>
      <c r="K451" s="17" t="str">
        <f t="shared" si="9"/>
        <v/>
      </c>
    </row>
    <row r="452" spans="3:11" hidden="1" outlineLevel="2" x14ac:dyDescent="0.3">
      <c r="C452" s="231">
        <v>18</v>
      </c>
      <c r="D452" s="510"/>
      <c r="E452" s="511"/>
      <c r="F452" s="512"/>
      <c r="G452" s="509"/>
      <c r="H452" s="509"/>
      <c r="I452" s="509"/>
      <c r="J452" s="145"/>
      <c r="K452" s="17" t="str">
        <f t="shared" si="9"/>
        <v/>
      </c>
    </row>
    <row r="453" spans="3:11" hidden="1" outlineLevel="2" x14ac:dyDescent="0.3">
      <c r="C453" s="231">
        <v>19</v>
      </c>
      <c r="D453" s="510"/>
      <c r="E453" s="511"/>
      <c r="F453" s="512"/>
      <c r="G453" s="509"/>
      <c r="H453" s="509"/>
      <c r="I453" s="509"/>
      <c r="J453" s="145"/>
      <c r="K453" s="17" t="str">
        <f t="shared" si="9"/>
        <v/>
      </c>
    </row>
    <row r="454" spans="3:11" hidden="1" outlineLevel="2" x14ac:dyDescent="0.3">
      <c r="C454" s="231">
        <v>20</v>
      </c>
      <c r="D454" s="510"/>
      <c r="E454" s="511"/>
      <c r="F454" s="512"/>
      <c r="G454" s="509"/>
      <c r="H454" s="509"/>
      <c r="I454" s="509"/>
      <c r="J454" s="145"/>
      <c r="K454" s="17" t="str">
        <f t="shared" si="9"/>
        <v/>
      </c>
    </row>
    <row r="455" spans="3:11" hidden="1" outlineLevel="2" x14ac:dyDescent="0.3">
      <c r="C455" s="231">
        <v>21</v>
      </c>
      <c r="D455" s="510"/>
      <c r="E455" s="511"/>
      <c r="F455" s="512"/>
      <c r="G455" s="509"/>
      <c r="H455" s="509"/>
      <c r="I455" s="509"/>
      <c r="J455" s="145"/>
      <c r="K455" s="17" t="str">
        <f t="shared" si="9"/>
        <v/>
      </c>
    </row>
    <row r="456" spans="3:11" hidden="1" outlineLevel="2" x14ac:dyDescent="0.3">
      <c r="C456" s="231">
        <v>22</v>
      </c>
      <c r="D456" s="510"/>
      <c r="E456" s="511"/>
      <c r="F456" s="512"/>
      <c r="G456" s="509"/>
      <c r="H456" s="509"/>
      <c r="I456" s="509"/>
      <c r="J456" s="145"/>
      <c r="K456" s="17" t="str">
        <f t="shared" si="9"/>
        <v/>
      </c>
    </row>
    <row r="457" spans="3:11" hidden="1" outlineLevel="2" x14ac:dyDescent="0.3">
      <c r="C457" s="231">
        <v>23</v>
      </c>
      <c r="D457" s="510"/>
      <c r="E457" s="511"/>
      <c r="F457" s="512"/>
      <c r="G457" s="509"/>
      <c r="H457" s="509"/>
      <c r="I457" s="509"/>
      <c r="J457" s="145"/>
      <c r="K457" s="17" t="str">
        <f t="shared" si="9"/>
        <v/>
      </c>
    </row>
    <row r="458" spans="3:11" hidden="1" outlineLevel="2" x14ac:dyDescent="0.3">
      <c r="C458" s="231">
        <v>24</v>
      </c>
      <c r="D458" s="510"/>
      <c r="E458" s="511"/>
      <c r="F458" s="512"/>
      <c r="G458" s="509"/>
      <c r="H458" s="509"/>
      <c r="I458" s="509"/>
      <c r="J458" s="145"/>
      <c r="K458" s="17" t="str">
        <f t="shared" si="9"/>
        <v/>
      </c>
    </row>
    <row r="459" spans="3:11" hidden="1" outlineLevel="2" x14ac:dyDescent="0.3">
      <c r="C459" s="231">
        <v>25</v>
      </c>
      <c r="D459" s="510"/>
      <c r="E459" s="511"/>
      <c r="F459" s="512"/>
      <c r="G459" s="509"/>
      <c r="H459" s="509"/>
      <c r="I459" s="509"/>
      <c r="J459" s="145"/>
      <c r="K459" s="17" t="str">
        <f t="shared" si="9"/>
        <v/>
      </c>
    </row>
    <row r="460" spans="3:11" hidden="1" outlineLevel="2" x14ac:dyDescent="0.3">
      <c r="C460" s="231">
        <v>26</v>
      </c>
      <c r="D460" s="510"/>
      <c r="E460" s="511"/>
      <c r="F460" s="512"/>
      <c r="G460" s="509"/>
      <c r="H460" s="509"/>
      <c r="I460" s="509"/>
      <c r="J460" s="145"/>
      <c r="K460" s="17" t="str">
        <f t="shared" si="9"/>
        <v/>
      </c>
    </row>
    <row r="461" spans="3:11" hidden="1" outlineLevel="2" x14ac:dyDescent="0.3">
      <c r="C461" s="231">
        <v>27</v>
      </c>
      <c r="D461" s="510"/>
      <c r="E461" s="511"/>
      <c r="F461" s="512"/>
      <c r="G461" s="509"/>
      <c r="H461" s="509"/>
      <c r="I461" s="509"/>
      <c r="J461" s="145"/>
      <c r="K461" s="17" t="str">
        <f t="shared" si="9"/>
        <v/>
      </c>
    </row>
    <row r="462" spans="3:11" hidden="1" outlineLevel="2" x14ac:dyDescent="0.3">
      <c r="C462" s="231">
        <v>28</v>
      </c>
      <c r="D462" s="510"/>
      <c r="E462" s="511"/>
      <c r="F462" s="512"/>
      <c r="G462" s="509"/>
      <c r="H462" s="509"/>
      <c r="I462" s="509"/>
      <c r="J462" s="145"/>
      <c r="K462" s="17" t="str">
        <f t="shared" si="9"/>
        <v/>
      </c>
    </row>
    <row r="463" spans="3:11" hidden="1" outlineLevel="2" x14ac:dyDescent="0.3">
      <c r="C463" s="231">
        <v>29</v>
      </c>
      <c r="D463" s="510"/>
      <c r="E463" s="511"/>
      <c r="F463" s="512"/>
      <c r="G463" s="509"/>
      <c r="H463" s="509"/>
      <c r="I463" s="509"/>
      <c r="J463" s="145"/>
      <c r="K463" s="17" t="str">
        <f t="shared" si="9"/>
        <v/>
      </c>
    </row>
    <row r="464" spans="3:11" hidden="1" outlineLevel="2" x14ac:dyDescent="0.3">
      <c r="C464" s="231">
        <v>30</v>
      </c>
      <c r="D464" s="510"/>
      <c r="E464" s="511"/>
      <c r="F464" s="512"/>
      <c r="G464" s="509"/>
      <c r="H464" s="509"/>
      <c r="I464" s="509"/>
      <c r="J464" s="145"/>
      <c r="K464" s="17" t="str">
        <f t="shared" si="9"/>
        <v/>
      </c>
    </row>
    <row r="465" spans="3:11" hidden="1" outlineLevel="2" x14ac:dyDescent="0.3">
      <c r="C465" s="231">
        <v>31</v>
      </c>
      <c r="D465" s="510"/>
      <c r="E465" s="511"/>
      <c r="F465" s="512"/>
      <c r="G465" s="509"/>
      <c r="H465" s="509"/>
      <c r="I465" s="509"/>
      <c r="J465" s="145"/>
      <c r="K465" s="17" t="str">
        <f t="shared" si="9"/>
        <v/>
      </c>
    </row>
    <row r="466" spans="3:11" hidden="1" outlineLevel="2" x14ac:dyDescent="0.3">
      <c r="C466" s="231">
        <v>32</v>
      </c>
      <c r="D466" s="510"/>
      <c r="E466" s="511"/>
      <c r="F466" s="512"/>
      <c r="G466" s="509"/>
      <c r="H466" s="509"/>
      <c r="I466" s="509"/>
      <c r="J466" s="145"/>
      <c r="K466" s="17" t="str">
        <f t="shared" si="9"/>
        <v/>
      </c>
    </row>
    <row r="467" spans="3:11" hidden="1" outlineLevel="2" x14ac:dyDescent="0.3">
      <c r="C467" s="231">
        <v>33</v>
      </c>
      <c r="D467" s="510"/>
      <c r="E467" s="511"/>
      <c r="F467" s="512"/>
      <c r="G467" s="509"/>
      <c r="H467" s="509"/>
      <c r="I467" s="509"/>
      <c r="J467" s="145"/>
      <c r="K467" s="17" t="str">
        <f t="shared" si="9"/>
        <v/>
      </c>
    </row>
    <row r="468" spans="3:11" hidden="1" outlineLevel="2" x14ac:dyDescent="0.3">
      <c r="C468" s="231">
        <v>34</v>
      </c>
      <c r="D468" s="510"/>
      <c r="E468" s="511"/>
      <c r="F468" s="512"/>
      <c r="G468" s="509"/>
      <c r="H468" s="509"/>
      <c r="I468" s="509"/>
      <c r="J468" s="145"/>
      <c r="K468" s="17" t="str">
        <f t="shared" si="9"/>
        <v/>
      </c>
    </row>
    <row r="469" spans="3:11" hidden="1" outlineLevel="2" x14ac:dyDescent="0.3">
      <c r="C469" s="231">
        <v>35</v>
      </c>
      <c r="D469" s="510"/>
      <c r="E469" s="511"/>
      <c r="F469" s="512"/>
      <c r="G469" s="509"/>
      <c r="H469" s="509"/>
      <c r="I469" s="509"/>
      <c r="J469" s="145"/>
      <c r="K469" s="17" t="str">
        <f t="shared" si="9"/>
        <v/>
      </c>
    </row>
    <row r="470" spans="3:11" hidden="1" outlineLevel="2" x14ac:dyDescent="0.3">
      <c r="C470" s="231">
        <v>36</v>
      </c>
      <c r="D470" s="510"/>
      <c r="E470" s="511"/>
      <c r="F470" s="512"/>
      <c r="G470" s="509"/>
      <c r="H470" s="509"/>
      <c r="I470" s="509"/>
      <c r="J470" s="145"/>
      <c r="K470" s="17" t="str">
        <f t="shared" si="9"/>
        <v/>
      </c>
    </row>
    <row r="471" spans="3:11" hidden="1" outlineLevel="2" x14ac:dyDescent="0.3">
      <c r="C471" s="231">
        <v>37</v>
      </c>
      <c r="D471" s="510"/>
      <c r="E471" s="511"/>
      <c r="F471" s="512"/>
      <c r="G471" s="509"/>
      <c r="H471" s="509"/>
      <c r="I471" s="509"/>
      <c r="J471" s="145"/>
      <c r="K471" s="17" t="str">
        <f t="shared" si="9"/>
        <v/>
      </c>
    </row>
    <row r="472" spans="3:11" hidden="1" outlineLevel="2" x14ac:dyDescent="0.3">
      <c r="C472" s="231">
        <v>38</v>
      </c>
      <c r="D472" s="510"/>
      <c r="E472" s="511"/>
      <c r="F472" s="512"/>
      <c r="G472" s="509"/>
      <c r="H472" s="509"/>
      <c r="I472" s="509"/>
      <c r="J472" s="145"/>
      <c r="K472" s="17" t="str">
        <f t="shared" si="9"/>
        <v/>
      </c>
    </row>
    <row r="473" spans="3:11" hidden="1" outlineLevel="2" x14ac:dyDescent="0.3">
      <c r="C473" s="231">
        <v>39</v>
      </c>
      <c r="D473" s="510"/>
      <c r="E473" s="511"/>
      <c r="F473" s="512"/>
      <c r="G473" s="509"/>
      <c r="H473" s="509"/>
      <c r="I473" s="509"/>
      <c r="J473" s="145"/>
      <c r="K473" s="17" t="str">
        <f t="shared" si="9"/>
        <v/>
      </c>
    </row>
    <row r="474" spans="3:11" hidden="1" outlineLevel="2" x14ac:dyDescent="0.3">
      <c r="C474" s="231">
        <v>40</v>
      </c>
      <c r="D474" s="510"/>
      <c r="E474" s="511"/>
      <c r="F474" s="512"/>
      <c r="G474" s="509"/>
      <c r="H474" s="509"/>
      <c r="I474" s="509"/>
      <c r="J474" s="145"/>
      <c r="K474" s="17" t="str">
        <f t="shared" si="9"/>
        <v/>
      </c>
    </row>
    <row r="475" spans="3:11" hidden="1" outlineLevel="2" x14ac:dyDescent="0.3">
      <c r="C475" s="231">
        <v>41</v>
      </c>
      <c r="D475" s="510"/>
      <c r="E475" s="511"/>
      <c r="F475" s="512"/>
      <c r="G475" s="509"/>
      <c r="H475" s="509"/>
      <c r="I475" s="509"/>
      <c r="J475" s="145"/>
      <c r="K475" s="17" t="str">
        <f t="shared" si="9"/>
        <v/>
      </c>
    </row>
    <row r="476" spans="3:11" hidden="1" outlineLevel="2" x14ac:dyDescent="0.3">
      <c r="C476" s="231">
        <v>42</v>
      </c>
      <c r="D476" s="510"/>
      <c r="E476" s="511"/>
      <c r="F476" s="512"/>
      <c r="G476" s="509"/>
      <c r="H476" s="509"/>
      <c r="I476" s="509"/>
      <c r="J476" s="145"/>
      <c r="K476" s="17" t="str">
        <f t="shared" si="9"/>
        <v/>
      </c>
    </row>
    <row r="477" spans="3:11" hidden="1" outlineLevel="2" x14ac:dyDescent="0.3">
      <c r="C477" s="231">
        <v>43</v>
      </c>
      <c r="D477" s="510"/>
      <c r="E477" s="511"/>
      <c r="F477" s="512"/>
      <c r="G477" s="509"/>
      <c r="H477" s="509"/>
      <c r="I477" s="509"/>
      <c r="J477" s="145"/>
      <c r="K477" s="17" t="str">
        <f t="shared" si="9"/>
        <v/>
      </c>
    </row>
    <row r="478" spans="3:11" hidden="1" outlineLevel="2" x14ac:dyDescent="0.3">
      <c r="C478" s="231">
        <v>44</v>
      </c>
      <c r="D478" s="510"/>
      <c r="E478" s="511"/>
      <c r="F478" s="512"/>
      <c r="G478" s="509"/>
      <c r="H478" s="509"/>
      <c r="I478" s="509"/>
      <c r="J478" s="145"/>
      <c r="K478" s="17" t="str">
        <f t="shared" si="9"/>
        <v/>
      </c>
    </row>
    <row r="479" spans="3:11" hidden="1" outlineLevel="2" x14ac:dyDescent="0.3">
      <c r="C479" s="231">
        <v>45</v>
      </c>
      <c r="D479" s="510"/>
      <c r="E479" s="511"/>
      <c r="F479" s="512"/>
      <c r="G479" s="509"/>
      <c r="H479" s="509"/>
      <c r="I479" s="509"/>
      <c r="J479" s="145"/>
      <c r="K479" s="17" t="str">
        <f t="shared" si="9"/>
        <v/>
      </c>
    </row>
    <row r="480" spans="3:11" hidden="1" outlineLevel="2" x14ac:dyDescent="0.3">
      <c r="C480" s="231">
        <v>46</v>
      </c>
      <c r="D480" s="510"/>
      <c r="E480" s="511"/>
      <c r="F480" s="512"/>
      <c r="G480" s="509"/>
      <c r="H480" s="509"/>
      <c r="I480" s="509"/>
      <c r="J480" s="145"/>
      <c r="K480" s="17" t="str">
        <f t="shared" si="9"/>
        <v/>
      </c>
    </row>
    <row r="481" spans="3:11" hidden="1" outlineLevel="2" x14ac:dyDescent="0.3">
      <c r="C481" s="231">
        <v>47</v>
      </c>
      <c r="D481" s="510"/>
      <c r="E481" s="511"/>
      <c r="F481" s="512"/>
      <c r="G481" s="509"/>
      <c r="H481" s="509"/>
      <c r="I481" s="509"/>
      <c r="J481" s="145"/>
      <c r="K481" s="17" t="str">
        <f t="shared" si="9"/>
        <v/>
      </c>
    </row>
    <row r="482" spans="3:11" hidden="1" outlineLevel="2" x14ac:dyDescent="0.3">
      <c r="C482" s="231">
        <v>48</v>
      </c>
      <c r="D482" s="510"/>
      <c r="E482" s="511"/>
      <c r="F482" s="512"/>
      <c r="G482" s="509"/>
      <c r="H482" s="509"/>
      <c r="I482" s="509"/>
      <c r="J482" s="145"/>
      <c r="K482" s="17" t="str">
        <f t="shared" si="9"/>
        <v/>
      </c>
    </row>
    <row r="483" spans="3:11" hidden="1" outlineLevel="2" x14ac:dyDescent="0.3">
      <c r="C483" s="231">
        <v>49</v>
      </c>
      <c r="D483" s="510"/>
      <c r="E483" s="511"/>
      <c r="F483" s="512"/>
      <c r="G483" s="509"/>
      <c r="H483" s="509"/>
      <c r="I483" s="509"/>
      <c r="J483" s="145"/>
      <c r="K483" s="17" t="str">
        <f t="shared" si="9"/>
        <v/>
      </c>
    </row>
    <row r="484" spans="3:11" hidden="1" outlineLevel="2" x14ac:dyDescent="0.3">
      <c r="C484" s="231">
        <v>50</v>
      </c>
      <c r="D484" s="510"/>
      <c r="E484" s="511"/>
      <c r="F484" s="512"/>
      <c r="G484" s="509"/>
      <c r="H484" s="509"/>
      <c r="I484" s="509"/>
      <c r="J484" s="145"/>
      <c r="K484" s="17" t="str">
        <f t="shared" si="9"/>
        <v/>
      </c>
    </row>
    <row r="485" spans="3:11" hidden="1" outlineLevel="2" x14ac:dyDescent="0.3">
      <c r="C485" s="231">
        <v>51</v>
      </c>
      <c r="D485" s="510"/>
      <c r="E485" s="511"/>
      <c r="F485" s="512"/>
      <c r="G485" s="509"/>
      <c r="H485" s="509"/>
      <c r="I485" s="509"/>
      <c r="J485" s="145"/>
      <c r="K485" s="17" t="str">
        <f t="shared" si="9"/>
        <v/>
      </c>
    </row>
    <row r="486" spans="3:11" hidden="1" outlineLevel="2" x14ac:dyDescent="0.3">
      <c r="C486" s="231">
        <v>52</v>
      </c>
      <c r="D486" s="510"/>
      <c r="E486" s="511"/>
      <c r="F486" s="512"/>
      <c r="G486" s="509"/>
      <c r="H486" s="509"/>
      <c r="I486" s="509"/>
      <c r="J486" s="145"/>
      <c r="K486" s="17" t="str">
        <f t="shared" si="9"/>
        <v/>
      </c>
    </row>
    <row r="487" spans="3:11" hidden="1" outlineLevel="2" x14ac:dyDescent="0.3">
      <c r="C487" s="231">
        <v>53</v>
      </c>
      <c r="D487" s="510"/>
      <c r="E487" s="511"/>
      <c r="F487" s="512"/>
      <c r="G487" s="509"/>
      <c r="H487" s="509"/>
      <c r="I487" s="509"/>
      <c r="J487" s="145"/>
      <c r="K487" s="17" t="str">
        <f t="shared" si="9"/>
        <v/>
      </c>
    </row>
    <row r="488" spans="3:11" hidden="1" outlineLevel="2" x14ac:dyDescent="0.3">
      <c r="C488" s="231">
        <v>54</v>
      </c>
      <c r="D488" s="510"/>
      <c r="E488" s="511"/>
      <c r="F488" s="512"/>
      <c r="G488" s="509"/>
      <c r="H488" s="509"/>
      <c r="I488" s="509"/>
      <c r="J488" s="145"/>
      <c r="K488" s="17" t="str">
        <f t="shared" si="9"/>
        <v/>
      </c>
    </row>
    <row r="489" spans="3:11" hidden="1" outlineLevel="2" x14ac:dyDescent="0.3">
      <c r="C489" s="231">
        <v>55</v>
      </c>
      <c r="D489" s="510"/>
      <c r="E489" s="511"/>
      <c r="F489" s="512"/>
      <c r="G489" s="509"/>
      <c r="H489" s="509"/>
      <c r="I489" s="509"/>
      <c r="J489" s="145"/>
      <c r="K489" s="17" t="str">
        <f t="shared" si="9"/>
        <v/>
      </c>
    </row>
    <row r="490" spans="3:11" hidden="1" outlineLevel="2" x14ac:dyDescent="0.3">
      <c r="C490" s="231">
        <v>56</v>
      </c>
      <c r="D490" s="510"/>
      <c r="E490" s="511"/>
      <c r="F490" s="512"/>
      <c r="G490" s="509"/>
      <c r="H490" s="509"/>
      <c r="I490" s="509"/>
      <c r="J490" s="145"/>
      <c r="K490" s="17" t="str">
        <f t="shared" si="9"/>
        <v/>
      </c>
    </row>
    <row r="491" spans="3:11" hidden="1" outlineLevel="2" x14ac:dyDescent="0.3">
      <c r="C491" s="231">
        <v>57</v>
      </c>
      <c r="D491" s="510"/>
      <c r="E491" s="511"/>
      <c r="F491" s="512"/>
      <c r="G491" s="509"/>
      <c r="H491" s="509"/>
      <c r="I491" s="509"/>
      <c r="J491" s="145"/>
      <c r="K491" s="17" t="str">
        <f t="shared" si="9"/>
        <v/>
      </c>
    </row>
    <row r="492" spans="3:11" hidden="1" outlineLevel="2" x14ac:dyDescent="0.3">
      <c r="C492" s="231">
        <v>58</v>
      </c>
      <c r="D492" s="510"/>
      <c r="E492" s="511"/>
      <c r="F492" s="512"/>
      <c r="G492" s="509"/>
      <c r="H492" s="509"/>
      <c r="I492" s="509"/>
      <c r="J492" s="145"/>
      <c r="K492" s="17" t="str">
        <f t="shared" si="9"/>
        <v/>
      </c>
    </row>
    <row r="493" spans="3:11" hidden="1" outlineLevel="2" x14ac:dyDescent="0.3">
      <c r="C493" s="231">
        <v>59</v>
      </c>
      <c r="D493" s="510"/>
      <c r="E493" s="511"/>
      <c r="F493" s="512"/>
      <c r="G493" s="509"/>
      <c r="H493" s="509"/>
      <c r="I493" s="509"/>
      <c r="J493" s="145"/>
      <c r="K493" s="17" t="str">
        <f t="shared" si="9"/>
        <v/>
      </c>
    </row>
    <row r="494" spans="3:11" hidden="1" outlineLevel="2" x14ac:dyDescent="0.3">
      <c r="C494" s="231">
        <v>60</v>
      </c>
      <c r="D494" s="510"/>
      <c r="E494" s="511"/>
      <c r="F494" s="512"/>
      <c r="G494" s="509"/>
      <c r="H494" s="509"/>
      <c r="I494" s="509"/>
      <c r="J494" s="145"/>
      <c r="K494" s="17" t="str">
        <f t="shared" si="9"/>
        <v/>
      </c>
    </row>
    <row r="495" spans="3:11" hidden="1" outlineLevel="2" x14ac:dyDescent="0.3">
      <c r="C495" s="231">
        <v>61</v>
      </c>
      <c r="D495" s="510"/>
      <c r="E495" s="511"/>
      <c r="F495" s="512"/>
      <c r="G495" s="509"/>
      <c r="H495" s="509"/>
      <c r="I495" s="509"/>
      <c r="J495" s="145"/>
      <c r="K495" s="17" t="str">
        <f t="shared" si="9"/>
        <v/>
      </c>
    </row>
    <row r="496" spans="3:11" hidden="1" outlineLevel="2" x14ac:dyDescent="0.3">
      <c r="C496" s="231">
        <v>62</v>
      </c>
      <c r="D496" s="510"/>
      <c r="E496" s="511"/>
      <c r="F496" s="512"/>
      <c r="G496" s="509"/>
      <c r="H496" s="509"/>
      <c r="I496" s="509"/>
      <c r="J496" s="145"/>
      <c r="K496" s="17" t="str">
        <f t="shared" si="9"/>
        <v/>
      </c>
    </row>
    <row r="497" spans="3:11" hidden="1" outlineLevel="2" x14ac:dyDescent="0.3">
      <c r="C497" s="231">
        <v>63</v>
      </c>
      <c r="D497" s="510"/>
      <c r="E497" s="511"/>
      <c r="F497" s="512"/>
      <c r="G497" s="509"/>
      <c r="H497" s="509"/>
      <c r="I497" s="509"/>
      <c r="J497" s="145"/>
      <c r="K497" s="17" t="str">
        <f t="shared" si="9"/>
        <v/>
      </c>
    </row>
    <row r="498" spans="3:11" hidden="1" outlineLevel="2" x14ac:dyDescent="0.3">
      <c r="C498" s="231">
        <v>64</v>
      </c>
      <c r="D498" s="510"/>
      <c r="E498" s="511"/>
      <c r="F498" s="512"/>
      <c r="G498" s="509"/>
      <c r="H498" s="509"/>
      <c r="I498" s="509"/>
      <c r="J498" s="145"/>
      <c r="K498" s="17" t="str">
        <f t="shared" si="9"/>
        <v/>
      </c>
    </row>
    <row r="499" spans="3:11" hidden="1" outlineLevel="2" x14ac:dyDescent="0.3">
      <c r="C499" s="231">
        <v>65</v>
      </c>
      <c r="D499" s="510"/>
      <c r="E499" s="511"/>
      <c r="F499" s="512"/>
      <c r="G499" s="509"/>
      <c r="H499" s="509"/>
      <c r="I499" s="509"/>
      <c r="J499" s="145"/>
      <c r="K499" s="17" t="str">
        <f t="shared" si="9"/>
        <v/>
      </c>
    </row>
    <row r="500" spans="3:11" hidden="1" outlineLevel="2" x14ac:dyDescent="0.3">
      <c r="C500" s="231">
        <v>66</v>
      </c>
      <c r="D500" s="510"/>
      <c r="E500" s="511"/>
      <c r="F500" s="512"/>
      <c r="G500" s="509"/>
      <c r="H500" s="509"/>
      <c r="I500" s="509"/>
      <c r="J500" s="145"/>
      <c r="K500" s="17" t="str">
        <f t="shared" si="9"/>
        <v/>
      </c>
    </row>
    <row r="501" spans="3:11" hidden="1" outlineLevel="2" x14ac:dyDescent="0.3">
      <c r="C501" s="231">
        <v>67</v>
      </c>
      <c r="D501" s="510"/>
      <c r="E501" s="511"/>
      <c r="F501" s="512"/>
      <c r="G501" s="509"/>
      <c r="H501" s="509"/>
      <c r="I501" s="509"/>
      <c r="J501" s="145"/>
      <c r="K501" s="17" t="str">
        <f t="shared" si="9"/>
        <v/>
      </c>
    </row>
    <row r="502" spans="3:11" hidden="1" outlineLevel="2" x14ac:dyDescent="0.3">
      <c r="C502" s="231">
        <v>68</v>
      </c>
      <c r="D502" s="510"/>
      <c r="E502" s="511"/>
      <c r="F502" s="512"/>
      <c r="G502" s="509"/>
      <c r="H502" s="509"/>
      <c r="I502" s="509"/>
      <c r="J502" s="145"/>
      <c r="K502" s="17" t="str">
        <f t="shared" si="9"/>
        <v/>
      </c>
    </row>
    <row r="503" spans="3:11" hidden="1" outlineLevel="2" x14ac:dyDescent="0.3">
      <c r="C503" s="231">
        <v>69</v>
      </c>
      <c r="D503" s="510"/>
      <c r="E503" s="511"/>
      <c r="F503" s="512"/>
      <c r="G503" s="509"/>
      <c r="H503" s="509"/>
      <c r="I503" s="509"/>
      <c r="J503" s="145"/>
      <c r="K503" s="17" t="str">
        <f t="shared" si="9"/>
        <v/>
      </c>
    </row>
    <row r="504" spans="3:11" hidden="1" outlineLevel="2" x14ac:dyDescent="0.3">
      <c r="C504" s="231">
        <v>70</v>
      </c>
      <c r="D504" s="510"/>
      <c r="E504" s="511"/>
      <c r="F504" s="512"/>
      <c r="G504" s="509"/>
      <c r="H504" s="509"/>
      <c r="I504" s="509"/>
      <c r="J504" s="145"/>
      <c r="K504" s="17" t="str">
        <f t="shared" si="9"/>
        <v/>
      </c>
    </row>
    <row r="505" spans="3:11" hidden="1" outlineLevel="2" x14ac:dyDescent="0.3">
      <c r="C505" s="231">
        <v>71</v>
      </c>
      <c r="D505" s="510"/>
      <c r="E505" s="511"/>
      <c r="F505" s="512"/>
      <c r="G505" s="509"/>
      <c r="H505" s="509"/>
      <c r="I505" s="509"/>
      <c r="J505" s="145"/>
      <c r="K505" s="17" t="str">
        <f t="shared" si="9"/>
        <v/>
      </c>
    </row>
    <row r="506" spans="3:11" hidden="1" outlineLevel="2" x14ac:dyDescent="0.3">
      <c r="C506" s="231">
        <v>72</v>
      </c>
      <c r="D506" s="510"/>
      <c r="E506" s="511"/>
      <c r="F506" s="512"/>
      <c r="G506" s="509"/>
      <c r="H506" s="509"/>
      <c r="I506" s="509"/>
      <c r="J506" s="145"/>
      <c r="K506" s="17" t="str">
        <f t="shared" si="9"/>
        <v/>
      </c>
    </row>
    <row r="507" spans="3:11" hidden="1" outlineLevel="2" x14ac:dyDescent="0.3">
      <c r="C507" s="231">
        <v>73</v>
      </c>
      <c r="D507" s="510"/>
      <c r="E507" s="511"/>
      <c r="F507" s="512"/>
      <c r="G507" s="509"/>
      <c r="H507" s="509"/>
      <c r="I507" s="509"/>
      <c r="J507" s="145"/>
      <c r="K507" s="17" t="str">
        <f t="shared" si="9"/>
        <v/>
      </c>
    </row>
    <row r="508" spans="3:11" hidden="1" outlineLevel="2" x14ac:dyDescent="0.3">
      <c r="C508" s="231">
        <v>74</v>
      </c>
      <c r="D508" s="510"/>
      <c r="E508" s="511"/>
      <c r="F508" s="512"/>
      <c r="G508" s="509"/>
      <c r="H508" s="509"/>
      <c r="I508" s="509"/>
      <c r="J508" s="145"/>
      <c r="K508" s="17" t="str">
        <f t="shared" si="9"/>
        <v/>
      </c>
    </row>
    <row r="509" spans="3:11" hidden="1" outlineLevel="2" x14ac:dyDescent="0.3">
      <c r="C509" s="231">
        <v>75</v>
      </c>
      <c r="D509" s="510"/>
      <c r="E509" s="511"/>
      <c r="F509" s="512"/>
      <c r="G509" s="509"/>
      <c r="H509" s="509"/>
      <c r="I509" s="509"/>
      <c r="J509" s="145"/>
      <c r="K509" s="17" t="str">
        <f t="shared" si="9"/>
        <v/>
      </c>
    </row>
    <row r="510" spans="3:11" hidden="1" outlineLevel="2" x14ac:dyDescent="0.3">
      <c r="C510" s="231">
        <v>76</v>
      </c>
      <c r="D510" s="510"/>
      <c r="E510" s="511"/>
      <c r="F510" s="512"/>
      <c r="G510" s="509"/>
      <c r="H510" s="509"/>
      <c r="I510" s="509"/>
      <c r="J510" s="145"/>
      <c r="K510" s="17" t="str">
        <f t="shared" si="9"/>
        <v/>
      </c>
    </row>
    <row r="511" spans="3:11" hidden="1" outlineLevel="2" x14ac:dyDescent="0.3">
      <c r="C511" s="231">
        <v>77</v>
      </c>
      <c r="D511" s="510"/>
      <c r="E511" s="511"/>
      <c r="F511" s="512"/>
      <c r="G511" s="509"/>
      <c r="H511" s="509"/>
      <c r="I511" s="509"/>
      <c r="J511" s="145"/>
      <c r="K511" s="17" t="str">
        <f t="shared" si="9"/>
        <v/>
      </c>
    </row>
    <row r="512" spans="3:11" hidden="1" outlineLevel="2" x14ac:dyDescent="0.3">
      <c r="C512" s="231">
        <v>78</v>
      </c>
      <c r="D512" s="510"/>
      <c r="E512" s="511"/>
      <c r="F512" s="512"/>
      <c r="G512" s="509"/>
      <c r="H512" s="509"/>
      <c r="I512" s="509"/>
      <c r="J512" s="145"/>
      <c r="K512" s="17" t="str">
        <f t="shared" si="9"/>
        <v/>
      </c>
    </row>
    <row r="513" spans="3:11" hidden="1" outlineLevel="2" x14ac:dyDescent="0.3">
      <c r="C513" s="231">
        <v>79</v>
      </c>
      <c r="D513" s="510"/>
      <c r="E513" s="511"/>
      <c r="F513" s="512"/>
      <c r="G513" s="509"/>
      <c r="H513" s="509"/>
      <c r="I513" s="509"/>
      <c r="J513" s="145"/>
      <c r="K513" s="17" t="str">
        <f t="shared" si="9"/>
        <v/>
      </c>
    </row>
    <row r="514" spans="3:11" hidden="1" outlineLevel="2" x14ac:dyDescent="0.3">
      <c r="C514" s="231">
        <v>80</v>
      </c>
      <c r="D514" s="510"/>
      <c r="E514" s="511"/>
      <c r="F514" s="512"/>
      <c r="G514" s="509"/>
      <c r="H514" s="509"/>
      <c r="I514" s="509"/>
      <c r="J514" s="145"/>
      <c r="K514" s="17" t="str">
        <f t="shared" si="9"/>
        <v/>
      </c>
    </row>
    <row r="515" spans="3:11" hidden="1" outlineLevel="2" x14ac:dyDescent="0.3">
      <c r="C515" s="231">
        <v>81</v>
      </c>
      <c r="D515" s="510"/>
      <c r="E515" s="511"/>
      <c r="F515" s="512"/>
      <c r="G515" s="509"/>
      <c r="H515" s="509"/>
      <c r="I515" s="509"/>
      <c r="J515" s="145"/>
      <c r="K515" s="17" t="str">
        <f t="shared" si="9"/>
        <v/>
      </c>
    </row>
    <row r="516" spans="3:11" hidden="1" outlineLevel="2" x14ac:dyDescent="0.3">
      <c r="C516" s="231">
        <v>82</v>
      </c>
      <c r="D516" s="510"/>
      <c r="E516" s="511"/>
      <c r="F516" s="512"/>
      <c r="G516" s="509"/>
      <c r="H516" s="509"/>
      <c r="I516" s="509"/>
      <c r="J516" s="145"/>
      <c r="K516" s="17" t="str">
        <f t="shared" si="9"/>
        <v/>
      </c>
    </row>
    <row r="517" spans="3:11" hidden="1" outlineLevel="2" x14ac:dyDescent="0.3">
      <c r="C517" s="231">
        <v>83</v>
      </c>
      <c r="D517" s="510"/>
      <c r="E517" s="511"/>
      <c r="F517" s="512"/>
      <c r="G517" s="509"/>
      <c r="H517" s="509"/>
      <c r="I517" s="509"/>
      <c r="J517" s="145"/>
      <c r="K517" s="17" t="str">
        <f t="shared" si="9"/>
        <v/>
      </c>
    </row>
    <row r="518" spans="3:11" hidden="1" outlineLevel="2" x14ac:dyDescent="0.3">
      <c r="C518" s="231">
        <v>84</v>
      </c>
      <c r="D518" s="510"/>
      <c r="E518" s="511"/>
      <c r="F518" s="512"/>
      <c r="G518" s="509"/>
      <c r="H518" s="509"/>
      <c r="I518" s="509"/>
      <c r="J518" s="145"/>
      <c r="K518" s="17" t="str">
        <f t="shared" si="9"/>
        <v/>
      </c>
    </row>
    <row r="519" spans="3:11" hidden="1" outlineLevel="2" x14ac:dyDescent="0.3">
      <c r="C519" s="231">
        <v>85</v>
      </c>
      <c r="D519" s="510"/>
      <c r="E519" s="511"/>
      <c r="F519" s="512"/>
      <c r="G519" s="509"/>
      <c r="H519" s="509"/>
      <c r="I519" s="509"/>
      <c r="J519" s="145"/>
      <c r="K519" s="17" t="str">
        <f t="shared" si="9"/>
        <v/>
      </c>
    </row>
    <row r="520" spans="3:11" hidden="1" outlineLevel="2" x14ac:dyDescent="0.3">
      <c r="C520" s="231">
        <v>86</v>
      </c>
      <c r="D520" s="510"/>
      <c r="E520" s="511"/>
      <c r="F520" s="512"/>
      <c r="G520" s="509"/>
      <c r="H520" s="509"/>
      <c r="I520" s="509"/>
      <c r="J520" s="145"/>
      <c r="K520" s="17" t="str">
        <f t="shared" si="9"/>
        <v/>
      </c>
    </row>
    <row r="521" spans="3:11" hidden="1" outlineLevel="2" x14ac:dyDescent="0.3">
      <c r="C521" s="231">
        <v>87</v>
      </c>
      <c r="D521" s="510"/>
      <c r="E521" s="511"/>
      <c r="F521" s="512"/>
      <c r="G521" s="509"/>
      <c r="H521" s="509"/>
      <c r="I521" s="509"/>
      <c r="J521" s="145"/>
      <c r="K521" s="17" t="str">
        <f t="shared" si="9"/>
        <v/>
      </c>
    </row>
    <row r="522" spans="3:11" hidden="1" outlineLevel="2" x14ac:dyDescent="0.3">
      <c r="C522" s="231">
        <v>88</v>
      </c>
      <c r="D522" s="510"/>
      <c r="E522" s="511"/>
      <c r="F522" s="512"/>
      <c r="G522" s="509"/>
      <c r="H522" s="509"/>
      <c r="I522" s="509"/>
      <c r="J522" s="145"/>
      <c r="K522" s="17" t="str">
        <f t="shared" si="9"/>
        <v/>
      </c>
    </row>
    <row r="523" spans="3:11" hidden="1" outlineLevel="2" x14ac:dyDescent="0.3">
      <c r="C523" s="231">
        <v>89</v>
      </c>
      <c r="D523" s="510"/>
      <c r="E523" s="511"/>
      <c r="F523" s="512"/>
      <c r="G523" s="509"/>
      <c r="H523" s="509"/>
      <c r="I523" s="509"/>
      <c r="J523" s="145"/>
      <c r="K523" s="17" t="str">
        <f t="shared" si="9"/>
        <v/>
      </c>
    </row>
    <row r="524" spans="3:11" hidden="1" outlineLevel="2" x14ac:dyDescent="0.3">
      <c r="C524" s="231">
        <v>90</v>
      </c>
      <c r="D524" s="510"/>
      <c r="E524" s="511"/>
      <c r="F524" s="512"/>
      <c r="G524" s="509"/>
      <c r="H524" s="509"/>
      <c r="I524" s="509"/>
      <c r="J524" s="145"/>
      <c r="K524" s="17" t="str">
        <f t="shared" si="9"/>
        <v/>
      </c>
    </row>
    <row r="525" spans="3:11" hidden="1" outlineLevel="2" x14ac:dyDescent="0.3">
      <c r="C525" s="231">
        <v>91</v>
      </c>
      <c r="D525" s="510"/>
      <c r="E525" s="511"/>
      <c r="F525" s="512"/>
      <c r="G525" s="509"/>
      <c r="H525" s="509"/>
      <c r="I525" s="509"/>
      <c r="J525" s="145"/>
      <c r="K525" s="17" t="str">
        <f t="shared" si="9"/>
        <v/>
      </c>
    </row>
    <row r="526" spans="3:11" hidden="1" outlineLevel="2" x14ac:dyDescent="0.3">
      <c r="C526" s="231">
        <v>92</v>
      </c>
      <c r="D526" s="510"/>
      <c r="E526" s="511"/>
      <c r="F526" s="512"/>
      <c r="G526" s="509"/>
      <c r="H526" s="509"/>
      <c r="I526" s="509"/>
      <c r="J526" s="145"/>
      <c r="K526" s="17" t="str">
        <f t="shared" si="9"/>
        <v/>
      </c>
    </row>
    <row r="527" spans="3:11" hidden="1" outlineLevel="2" x14ac:dyDescent="0.3">
      <c r="C527" s="231">
        <v>93</v>
      </c>
      <c r="D527" s="510"/>
      <c r="E527" s="511"/>
      <c r="F527" s="512"/>
      <c r="G527" s="509"/>
      <c r="H527" s="509"/>
      <c r="I527" s="509"/>
      <c r="J527" s="145"/>
      <c r="K527" s="17" t="str">
        <f t="shared" si="9"/>
        <v/>
      </c>
    </row>
    <row r="528" spans="3:11" hidden="1" outlineLevel="2" x14ac:dyDescent="0.3">
      <c r="C528" s="231">
        <v>94</v>
      </c>
      <c r="D528" s="510"/>
      <c r="E528" s="511"/>
      <c r="F528" s="512"/>
      <c r="G528" s="509"/>
      <c r="H528" s="509"/>
      <c r="I528" s="509"/>
      <c r="J528" s="145"/>
      <c r="K528" s="17" t="str">
        <f t="shared" si="9"/>
        <v/>
      </c>
    </row>
    <row r="529" spans="1:12" hidden="1" outlineLevel="2" x14ac:dyDescent="0.3">
      <c r="C529" s="231">
        <v>95</v>
      </c>
      <c r="D529" s="510"/>
      <c r="E529" s="511"/>
      <c r="F529" s="512"/>
      <c r="G529" s="509"/>
      <c r="H529" s="509"/>
      <c r="I529" s="509"/>
      <c r="J529" s="145"/>
      <c r="K529" s="17" t="str">
        <f t="shared" si="9"/>
        <v/>
      </c>
    </row>
    <row r="530" spans="1:12" hidden="1" outlineLevel="2" x14ac:dyDescent="0.3">
      <c r="C530" s="231">
        <v>96</v>
      </c>
      <c r="D530" s="510"/>
      <c r="E530" s="511"/>
      <c r="F530" s="512"/>
      <c r="G530" s="509"/>
      <c r="H530" s="509"/>
      <c r="I530" s="509"/>
      <c r="J530" s="145"/>
      <c r="K530" s="17" t="str">
        <f t="shared" si="9"/>
        <v/>
      </c>
    </row>
    <row r="531" spans="1:12" hidden="1" outlineLevel="2" x14ac:dyDescent="0.3">
      <c r="C531" s="231">
        <v>97</v>
      </c>
      <c r="D531" s="510"/>
      <c r="E531" s="511"/>
      <c r="F531" s="512"/>
      <c r="G531" s="509"/>
      <c r="H531" s="509"/>
      <c r="I531" s="509"/>
      <c r="J531" s="145"/>
      <c r="K531" s="17" t="str">
        <f t="shared" si="9"/>
        <v/>
      </c>
    </row>
    <row r="532" spans="1:12" hidden="1" outlineLevel="2" x14ac:dyDescent="0.3">
      <c r="C532" s="231">
        <v>98</v>
      </c>
      <c r="D532" s="510"/>
      <c r="E532" s="511"/>
      <c r="F532" s="512"/>
      <c r="G532" s="509"/>
      <c r="H532" s="509"/>
      <c r="I532" s="509"/>
      <c r="J532" s="145"/>
      <c r="K532" s="17" t="str">
        <f t="shared" si="9"/>
        <v/>
      </c>
    </row>
    <row r="533" spans="1:12" hidden="1" outlineLevel="2" x14ac:dyDescent="0.3">
      <c r="C533" s="231">
        <v>99</v>
      </c>
      <c r="D533" s="510"/>
      <c r="E533" s="511"/>
      <c r="F533" s="512"/>
      <c r="G533" s="547"/>
      <c r="H533" s="548"/>
      <c r="I533" s="570"/>
      <c r="J533" s="145"/>
      <c r="K533" s="17" t="str">
        <f t="shared" si="9"/>
        <v/>
      </c>
    </row>
    <row r="534" spans="1:12" hidden="1" outlineLevel="2" x14ac:dyDescent="0.3">
      <c r="C534" s="231">
        <v>100</v>
      </c>
      <c r="D534" s="510"/>
      <c r="E534" s="511"/>
      <c r="F534" s="512"/>
      <c r="G534" s="547"/>
      <c r="H534" s="548"/>
      <c r="I534" s="570"/>
      <c r="J534" s="145"/>
      <c r="K534" s="17" t="str">
        <f t="shared" si="9"/>
        <v/>
      </c>
    </row>
    <row r="535" spans="1:12" collapsed="1" x14ac:dyDescent="0.3">
      <c r="C535" s="663" t="str">
        <f>template_label_total_annual_mass_flow_of_relevant_materials_used_mass</f>
        <v>Flusso di massa annuo totale dei materiali pertinenti utilizzati (massa in kg)</v>
      </c>
      <c r="D535" s="664"/>
      <c r="E535" s="664"/>
      <c r="F535" s="664"/>
      <c r="G535" s="688">
        <f>IF(AND(G435="",G436="",J435="",J436="",G437="",J437=""),"-",(SUMIF($J$435:$J$534,"kilograms (kg)",$G$435:$G$534))+((SUMIF($J$435:$J$534,"metric tonnes (t)",$G$435:$G$534))*1000))</f>
        <v>1500</v>
      </c>
      <c r="H535" s="688"/>
      <c r="I535" s="688"/>
      <c r="J535" s="143" t="str">
        <f>template_label_kilograms</f>
        <v>chilogrammi (kg)</v>
      </c>
    </row>
    <row r="536" spans="1:12" ht="15" thickBot="1" x14ac:dyDescent="0.35">
      <c r="C536" s="661" t="str">
        <f>template_label_total_annual_mass_flow_of_relevant_materials_used_volume</f>
        <v>Flusso di massa annuo totale dei materiali pertinenti utilizzati (volume in m³)</v>
      </c>
      <c r="D536" s="662"/>
      <c r="E536" s="662"/>
      <c r="F536" s="662"/>
      <c r="G536" s="546">
        <f>IF(AND(G435="",G436="",J435="",J436="",G437="",J437=""),"-",SUMIF(J435:J534, "cubic meters (m3)", G435:G534))</f>
        <v>800</v>
      </c>
      <c r="H536" s="546"/>
      <c r="I536" s="546"/>
      <c r="J536" s="141" t="str">
        <f>template_label_cubic_meters</f>
        <v>metri cubi (m³)</v>
      </c>
      <c r="K536" s="17"/>
    </row>
    <row r="537" spans="1:12" ht="15" thickBot="1" x14ac:dyDescent="0.35">
      <c r="D537" s="12"/>
      <c r="E537" s="12"/>
      <c r="F537" s="12"/>
      <c r="G537" s="12"/>
      <c r="H537" s="12"/>
      <c r="I537" s="12"/>
      <c r="J537" s="12"/>
    </row>
    <row r="538" spans="1:12" x14ac:dyDescent="0.3">
      <c r="C538" s="668" t="str">
        <f>template_label_c4_climate_risks&amp;" "&amp;template_label_from&amp;" "&amp;template_starting_date_display&amp;" "&amp;template_label_to&amp;" "&amp;template_ending_date_display&amp;" "&amp;template_label_if_applicable</f>
        <v>C4 – Rischi climatici da 2024-01-01 a 2024-12-31 [Se applicabile]</v>
      </c>
      <c r="D538" s="669"/>
      <c r="E538" s="669"/>
      <c r="F538" s="669"/>
      <c r="G538" s="669"/>
      <c r="H538" s="669"/>
      <c r="I538" s="669"/>
      <c r="J538" s="669"/>
      <c r="K538" s="670"/>
    </row>
    <row r="539" spans="1:12" ht="39.6" customHeight="1" x14ac:dyDescent="0.3">
      <c r="C539" s="683" t="str">
        <f>template_label_has_the_undertaking_identified_climate_related_hazards_and_climate_related_transition_events</f>
        <v xml:space="preserve">L'impresa ha individuato pericoli legati al clima ed eventi di transizione legati al clima che creano nei confronti dell'impresa rischi lordi legati al clima?
</v>
      </c>
      <c r="D539" s="684"/>
      <c r="E539" s="685" t="b">
        <v>1</v>
      </c>
      <c r="F539" s="686"/>
      <c r="G539" s="686"/>
      <c r="H539" s="686"/>
      <c r="I539" s="686"/>
      <c r="J539" s="686"/>
      <c r="K539" s="687"/>
    </row>
    <row r="540" spans="1:12" x14ac:dyDescent="0.3">
      <c r="A540" s="441" t="s">
        <v>3750</v>
      </c>
      <c r="B540" s="441" t="s">
        <v>5654</v>
      </c>
      <c r="C540" s="652" t="str">
        <f>template_label_description_of_climate_related_hazards_and_climate_related_transition_events</f>
        <v>Descrizione dei pericoli ed eventi di transizione legati al clima</v>
      </c>
      <c r="D540" s="652"/>
      <c r="E540" s="674" t="s">
        <v>9549</v>
      </c>
      <c r="F540" s="675"/>
      <c r="G540" s="675"/>
      <c r="H540" s="675"/>
      <c r="I540" s="675"/>
      <c r="J540" s="675"/>
      <c r="K540" s="676"/>
      <c r="L540" s="16" t="str">
        <f>IF(AND($E$539=TRUE,E540&lt;&gt;""),
    template_label_ok,
    IF(AND($E$539=TRUE,G540=""),
        template_label_missing_value,
        ""
    )
)</f>
        <v>OK</v>
      </c>
    </row>
    <row r="541" spans="1:12" x14ac:dyDescent="0.3">
      <c r="A541" s="441" t="s">
        <v>3751</v>
      </c>
      <c r="B541" s="441" t="s">
        <v>5654</v>
      </c>
      <c r="C541" s="652" t="str">
        <f>template_label_disclosure_of_how_it_has_assessed_the_exposure_and_sensitivity_of_its_assets</f>
        <v>Comunicazione del modo in cui ha valutato l'esposizione e la sensibilità dei suoi attivi, delle sue attività e della sua catena del valore a tali pericoli ed eventi di transizione</v>
      </c>
      <c r="D541" s="652"/>
      <c r="E541" s="674" t="s">
        <v>9549</v>
      </c>
      <c r="F541" s="675"/>
      <c r="G541" s="675"/>
      <c r="H541" s="675"/>
      <c r="I541" s="675"/>
      <c r="J541" s="675"/>
      <c r="K541" s="676"/>
      <c r="L541" s="16" t="str">
        <f>IF(AND($E$539=TRUE,E541&lt;&gt;""),
    template_label_ok,
    IF(AND($E$539=TRUE,G541=""),
        template_label_missing_value,
        ""
    )
)</f>
        <v>OK</v>
      </c>
    </row>
    <row r="542" spans="1:12" x14ac:dyDescent="0.3">
      <c r="A542" s="441" t="s">
        <v>3752</v>
      </c>
      <c r="B542" s="441" t="s">
        <v>5654</v>
      </c>
      <c r="C542" s="652" t="str">
        <f>template_label_time_horizons_of_any_climate_related_hazards_and_transition_events_identified</f>
        <v>Orizzonti temporali di eventuali pericoli ed eventi di transizione legati al clima individuati</v>
      </c>
      <c r="D542" s="652"/>
      <c r="E542" s="674" t="s">
        <v>9549</v>
      </c>
      <c r="F542" s="675"/>
      <c r="G542" s="675"/>
      <c r="H542" s="675"/>
      <c r="I542" s="675"/>
      <c r="J542" s="675"/>
      <c r="K542" s="676"/>
      <c r="L542" s="16" t="str">
        <f>IF(AND($E$539=TRUE,E542&lt;&gt;""),
    template_label_ok,
    IF(AND($E$539=TRUE,G542=""),
        template_label_missing_value,
        ""
    )
)</f>
        <v>OK</v>
      </c>
    </row>
    <row r="543" spans="1:12" ht="27" customHeight="1" x14ac:dyDescent="0.3">
      <c r="A543" s="441" t="s">
        <v>3753</v>
      </c>
      <c r="B543" s="441" t="s">
        <v>5654</v>
      </c>
      <c r="C543" s="652" t="str">
        <f>template_label_disclosure_of_whether_it_has_undertaken_climate_change_adaptation_actions</f>
        <v>Comunicazione se ha intrapreso azioni di adattamento ai cambiamenti climatici per eventuali pericoli ed eventi di transizione legati al clima</v>
      </c>
      <c r="D543" s="652"/>
      <c r="E543" s="677" t="s">
        <v>2907</v>
      </c>
      <c r="F543" s="678"/>
      <c r="G543" s="678"/>
      <c r="H543" s="678"/>
      <c r="I543" s="678"/>
      <c r="J543" s="678"/>
      <c r="K543" s="679"/>
      <c r="L543" s="16" t="str">
        <f>IF(AND($E$539=TRUE,E543&lt;&gt;""),
    template_label_ok,
    IF(AND($E$539=TRUE,G543=""),
        template_label_missing_value,
        ""
    )
)</f>
        <v>OK</v>
      </c>
    </row>
    <row r="544" spans="1:12" ht="29.4" customHeight="1" thickBot="1" x14ac:dyDescent="0.35">
      <c r="A544" s="441">
        <v>58</v>
      </c>
      <c r="B544" s="441" t="s">
        <v>5654</v>
      </c>
      <c r="C544" s="655" t="str">
        <f>template_label_potential_adverse_effects_of_climate_risks &amp; " - " &amp; template_label_may_not_headline</f>
        <v>L'impresa può segnalare i potenziali effetti negativi dei rischi climatici che potrebbero incidere sui suoi risultati finanziari o sulle sue operazioni aziendali a breve, medio o lungo termine, precisando se reputa che i rischi siano elevati, medi o bassi. - Facoltà (facoltativo)</v>
      </c>
      <c r="D544" s="655"/>
      <c r="E544" s="680"/>
      <c r="F544" s="681"/>
      <c r="G544" s="681"/>
      <c r="H544" s="681"/>
      <c r="I544" s="681"/>
      <c r="J544" s="681"/>
      <c r="K544" s="682"/>
      <c r="L544" s="16" t="str">
        <f>IF(AND($E$539=TRUE,E544&lt;&gt;""),
    template_label_ok,
    ""
)</f>
        <v/>
      </c>
    </row>
    <row r="545" spans="3:13" ht="15" thickBot="1" x14ac:dyDescent="0.35"/>
    <row r="546" spans="3:13" x14ac:dyDescent="0.3">
      <c r="C546" s="671" t="str">
        <f>template_label_disclosure_of_any_other_environmental_and_or_entity_specific_environmental_disclosures&amp;" "&amp;template_label_from&amp;" "&amp;template_starting_date_display&amp;" "&amp;template_label_to&amp;" "&amp;template_ending_date_display&amp;" " &amp; template_label_may</f>
        <v>Comunicazione di qualsiasi altra informativa ambientale e/o specifica per soggetto da 2024-01-01 a 2024-12-31 [Facoltà (facoltativo)]</v>
      </c>
      <c r="D546" s="672"/>
      <c r="E546" s="672"/>
      <c r="F546" s="672"/>
      <c r="G546" s="672"/>
      <c r="H546" s="672"/>
      <c r="I546" s="672"/>
      <c r="J546" s="672"/>
      <c r="K546" s="672"/>
      <c r="L546" s="673"/>
    </row>
    <row r="547" spans="3:13" x14ac:dyDescent="0.3">
      <c r="C547" s="585">
        <v>10</v>
      </c>
      <c r="D547" s="586"/>
      <c r="E547" s="586"/>
      <c r="F547" s="586"/>
      <c r="G547" s="586"/>
      <c r="H547" s="586"/>
      <c r="I547" s="586"/>
      <c r="J547" s="586"/>
      <c r="K547" s="586"/>
      <c r="L547" s="587"/>
      <c r="M547" s="8"/>
    </row>
    <row r="548" spans="3:13" ht="15" thickBot="1" x14ac:dyDescent="0.35">
      <c r="C548" s="666"/>
      <c r="D548" s="667"/>
      <c r="E548" s="667"/>
      <c r="F548" s="667"/>
      <c r="G548" s="667"/>
      <c r="H548" s="667"/>
      <c r="I548" s="667"/>
      <c r="J548" s="667"/>
      <c r="K548" s="667"/>
      <c r="L548" s="667"/>
      <c r="M548" s="104" t="str">
        <f>IF(C548&lt;&gt;"", template_label_ok, "")</f>
        <v/>
      </c>
    </row>
  </sheetData>
  <sheetProtection algorithmName="SHA-512" hashValue="AR1yu5AvPb+gNruMMtFFBalE3o//+7UqcaW4xKlEQ1B7cW3I3w91VRuXXkOc18Kapfxwo13r7q3/R2Mz74GCFQ==" saltValue="vfJf6uXyK93G5Shs354b/Q==" spinCount="100000" sheet="1" formatColumns="0" formatRows="0" insertRows="0"/>
  <mergeCells count="1015">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2:F342"/>
    <mergeCell ref="D340:F340"/>
    <mergeCell ref="D333:F333"/>
    <mergeCell ref="J425:L425"/>
    <mergeCell ref="J426:L426"/>
    <mergeCell ref="D377:F377"/>
    <mergeCell ref="D378:F378"/>
    <mergeCell ref="D345:F345"/>
    <mergeCell ref="D346:F346"/>
    <mergeCell ref="D347:F347"/>
    <mergeCell ref="D348:F348"/>
    <mergeCell ref="D349:F349"/>
    <mergeCell ref="D350:F350"/>
    <mergeCell ref="D351:F351"/>
    <mergeCell ref="D352:F352"/>
    <mergeCell ref="D353:F353"/>
    <mergeCell ref="D354:F354"/>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D141:F141"/>
    <mergeCell ref="D142:F142"/>
    <mergeCell ref="D143:F143"/>
    <mergeCell ref="D144:F144"/>
    <mergeCell ref="D145:F145"/>
    <mergeCell ref="D195:F195"/>
    <mergeCell ref="D197:F197"/>
    <mergeCell ref="G193:I193"/>
    <mergeCell ref="G194:I194"/>
    <mergeCell ref="G195:I195"/>
    <mergeCell ref="G196:I196"/>
    <mergeCell ref="D226:F226"/>
    <mergeCell ref="D227:F227"/>
    <mergeCell ref="D228:F228"/>
    <mergeCell ref="D229:F229"/>
    <mergeCell ref="D212:F212"/>
    <mergeCell ref="G191:I191"/>
    <mergeCell ref="G178:I178"/>
    <mergeCell ref="D287:F287"/>
    <mergeCell ref="C290:F290"/>
    <mergeCell ref="D221:F221"/>
    <mergeCell ref="D222:F222"/>
    <mergeCell ref="D223:F223"/>
    <mergeCell ref="G207:I207"/>
    <mergeCell ref="D196:F196"/>
    <mergeCell ref="D199:F199"/>
    <mergeCell ref="D200:F200"/>
    <mergeCell ref="D201:F201"/>
    <mergeCell ref="D202:F202"/>
    <mergeCell ref="G197:I197"/>
    <mergeCell ref="G198:I198"/>
    <mergeCell ref="G199:I199"/>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224:F224"/>
    <mergeCell ref="D225:F225"/>
    <mergeCell ref="C292:F292"/>
    <mergeCell ref="C293:F293"/>
    <mergeCell ref="G208:I208"/>
    <mergeCell ref="G209:I209"/>
    <mergeCell ref="G287:I287"/>
    <mergeCell ref="D339:F339"/>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G200:I200"/>
    <mergeCell ref="G201:I201"/>
    <mergeCell ref="G203:I203"/>
    <mergeCell ref="D140:F140"/>
    <mergeCell ref="G106:I106"/>
    <mergeCell ref="G107:I107"/>
    <mergeCell ref="G105:I105"/>
    <mergeCell ref="D102:F102"/>
    <mergeCell ref="D103:F103"/>
    <mergeCell ref="D104:F104"/>
    <mergeCell ref="D88:F88"/>
    <mergeCell ref="D89:F89"/>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G103:I103"/>
    <mergeCell ref="D46:F46"/>
    <mergeCell ref="D57:K57"/>
    <mergeCell ref="D58:K58"/>
    <mergeCell ref="C52:K52"/>
    <mergeCell ref="C50:K50"/>
    <mergeCell ref="C49:K49"/>
    <mergeCell ref="C71:K71"/>
    <mergeCell ref="G68:K68"/>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30:F130"/>
    <mergeCell ref="D131:F131"/>
    <mergeCell ref="D132:F132"/>
    <mergeCell ref="C181:K181"/>
    <mergeCell ref="C183:K183"/>
    <mergeCell ref="G187:I187"/>
    <mergeCell ref="G188:I188"/>
    <mergeCell ref="G189:I189"/>
    <mergeCell ref="G190:I19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C27:F27"/>
    <mergeCell ref="D43:F43"/>
    <mergeCell ref="D34:F34"/>
    <mergeCell ref="D35:F35"/>
    <mergeCell ref="D40:F40"/>
    <mergeCell ref="D41:F41"/>
    <mergeCell ref="D42:F42"/>
    <mergeCell ref="G42:I42"/>
    <mergeCell ref="G43:I43"/>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129:F129"/>
    <mergeCell ref="G87:I87"/>
    <mergeCell ref="D87:F87"/>
    <mergeCell ref="C77:K77"/>
    <mergeCell ref="C78:K78"/>
    <mergeCell ref="C75:F75"/>
    <mergeCell ref="G85:I85"/>
    <mergeCell ref="G75:K75"/>
    <mergeCell ref="D79:F79"/>
    <mergeCell ref="G79:I79"/>
    <mergeCell ref="G86:I86"/>
    <mergeCell ref="D83:F83"/>
    <mergeCell ref="D84:F84"/>
    <mergeCell ref="D85:F85"/>
    <mergeCell ref="D86:F86"/>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D110:F110"/>
    <mergeCell ref="D106:F106"/>
    <mergeCell ref="D107:F107"/>
    <mergeCell ref="D108:F108"/>
    <mergeCell ref="D109:F109"/>
    <mergeCell ref="D93:F93"/>
    <mergeCell ref="D101:F101"/>
    <mergeCell ref="D98:F98"/>
    <mergeCell ref="D94:F94"/>
    <mergeCell ref="D95:F95"/>
    <mergeCell ref="G97:I97"/>
    <mergeCell ref="G98:I98"/>
    <mergeCell ref="D154:F154"/>
    <mergeCell ref="D155:F155"/>
    <mergeCell ref="D156:F156"/>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D157:F157"/>
    <mergeCell ref="D158:F158"/>
    <mergeCell ref="D159:F159"/>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G20:I20"/>
    <mergeCell ref="G21:I21"/>
    <mergeCell ref="G22:I22"/>
    <mergeCell ref="G23:I23"/>
    <mergeCell ref="G27:J27"/>
    <mergeCell ref="G24:I24"/>
    <mergeCell ref="G29:K29"/>
    <mergeCell ref="G28:I28"/>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146:F146"/>
    <mergeCell ref="D147:F147"/>
    <mergeCell ref="D148:F148"/>
    <mergeCell ref="D149:F149"/>
    <mergeCell ref="D150:F150"/>
    <mergeCell ref="D151:F151"/>
    <mergeCell ref="D152:F152"/>
    <mergeCell ref="D153:F15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G40:I40"/>
    <mergeCell ref="G41:I41"/>
    <mergeCell ref="D44:F44"/>
    <mergeCell ref="D24:F24"/>
    <mergeCell ref="D28:F28"/>
    <mergeCell ref="D45:F45"/>
    <mergeCell ref="D25:F25"/>
    <mergeCell ref="D26:F26"/>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G337:I337"/>
    <mergeCell ref="G338:I338"/>
    <mergeCell ref="G228:I228"/>
    <mergeCell ref="D355:F355"/>
    <mergeCell ref="D356:F356"/>
    <mergeCell ref="D357:F357"/>
    <mergeCell ref="D358:F358"/>
    <mergeCell ref="D359:F359"/>
    <mergeCell ref="D360:F360"/>
    <mergeCell ref="D361:F361"/>
    <mergeCell ref="D407:F407"/>
    <mergeCell ref="D408:F408"/>
    <mergeCell ref="D409:F409"/>
    <mergeCell ref="D410:F410"/>
    <mergeCell ref="D411:F411"/>
    <mergeCell ref="D412:F412"/>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98:F398"/>
    <mergeCell ref="D399:F399"/>
    <mergeCell ref="D400:F400"/>
    <mergeCell ref="D401:F401"/>
    <mergeCell ref="D402:F402"/>
    <mergeCell ref="D403:F403"/>
    <mergeCell ref="D404:F404"/>
    <mergeCell ref="D405:F405"/>
    <mergeCell ref="D406:F406"/>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0:I360"/>
    <mergeCell ref="G361:I361"/>
    <mergeCell ref="G354:I354"/>
    <mergeCell ref="G355:I355"/>
    <mergeCell ref="G356:I356"/>
    <mergeCell ref="G357:I357"/>
    <mergeCell ref="G358:I358"/>
    <mergeCell ref="G359:I359"/>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13:F413"/>
    <mergeCell ref="D414:F414"/>
    <mergeCell ref="D415:F415"/>
    <mergeCell ref="D416:F416"/>
    <mergeCell ref="D417:F417"/>
    <mergeCell ref="D418:F418"/>
    <mergeCell ref="D419:F419"/>
    <mergeCell ref="D420:F420"/>
    <mergeCell ref="D421:F421"/>
    <mergeCell ref="D445:F445"/>
    <mergeCell ref="G445:I445"/>
    <mergeCell ref="D446:F446"/>
    <mergeCell ref="C432:J432"/>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G518:I518"/>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80:I280"/>
    <mergeCell ref="G281:I281"/>
    <mergeCell ref="G502:I502"/>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519:I519"/>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s>
  <phoneticPr fontId="3" type="noConversion"/>
  <conditionalFormatting sqref="C52:K52">
    <cfRule type="expression" dxfId="263" priority="161">
      <formula>$J$19=TRUE</formula>
    </cfRule>
  </conditionalFormatting>
  <conditionalFormatting sqref="C78:K78">
    <cfRule type="expression" dxfId="262" priority="146">
      <formula>$G$75=TRUE</formula>
    </cfRule>
    <cfRule type="expression" dxfId="261" priority="168">
      <formula>$G$75=TRUE</formula>
    </cfRule>
    <cfRule type="expression" dxfId="260" priority="158">
      <formula>$G$74=TRUE</formula>
    </cfRule>
  </conditionalFormatting>
  <conditionalFormatting sqref="C186:K186 G189:I286 J189:K287 G287">
    <cfRule type="expression" dxfId="259" priority="156">
      <formula>$G$184=TRUE</formula>
    </cfRule>
  </conditionalFormatting>
  <conditionalFormatting sqref="D58">
    <cfRule type="expression" dxfId="258" priority="182">
      <formula>AND($D$56=TRUE,$D$57="A transition plan has already been adopted")</formula>
    </cfRule>
  </conditionalFormatting>
  <conditionalFormatting sqref="D310">
    <cfRule type="expression" dxfId="257" priority="153">
      <formula>$D$309=TRUE</formula>
    </cfRule>
  </conditionalFormatting>
  <conditionalFormatting sqref="D30:F44">
    <cfRule type="expression" dxfId="256" priority="31">
      <formula>$G$29=TRUE</formula>
    </cfRule>
  </conditionalFormatting>
  <conditionalFormatting sqref="D45:F47">
    <cfRule type="expression" dxfId="255" priority="29">
      <formula>$G$29=FALSE</formula>
    </cfRule>
  </conditionalFormatting>
  <conditionalFormatting sqref="D80:F179">
    <cfRule type="expression" dxfId="254" priority="19">
      <formula>$G$74=TRUE</formula>
    </cfRule>
    <cfRule type="expression" dxfId="253" priority="20">
      <formula>$G$75=TRUE</formula>
    </cfRule>
  </conditionalFormatting>
  <conditionalFormatting sqref="D188:F188">
    <cfRule type="expression" dxfId="252" priority="25">
      <formula>$D$188="VALUE INCONSISTENCY"</formula>
    </cfRule>
  </conditionalFormatting>
  <conditionalFormatting sqref="D189:F287">
    <cfRule type="expression" dxfId="251" priority="80">
      <formula>$D189="VALUE INCONSISTENCY"</formula>
    </cfRule>
  </conditionalFormatting>
  <conditionalFormatting sqref="D317:G317">
    <cfRule type="expression" dxfId="250" priority="190">
      <formula>$D$316="YES"</formula>
    </cfRule>
  </conditionalFormatting>
  <conditionalFormatting sqref="D80:I80 G81:I82 D81:F179">
    <cfRule type="expression" dxfId="249" priority="17">
      <formula>$G$75=TRUE</formula>
    </cfRule>
  </conditionalFormatting>
  <conditionalFormatting sqref="D435:J435 D436:I441 J436:J534 D442:F444 G442:I532 D445:D534 G533:J533 G534">
    <cfRule type="expression" dxfId="248" priority="8">
      <formula>$G$433=TRUE</formula>
    </cfRule>
  </conditionalFormatting>
  <conditionalFormatting sqref="D57:K57">
    <cfRule type="expression" dxfId="247" priority="3">
      <formula>$D$56=FALSE</formula>
    </cfRule>
  </conditionalFormatting>
  <conditionalFormatting sqref="D59:K62">
    <cfRule type="expression" dxfId="246" priority="4">
      <formula>$D$57=""</formula>
    </cfRule>
    <cfRule type="expression" dxfId="245" priority="5">
      <formula>$D$57="A transition plan has already been adopted"</formula>
    </cfRule>
  </conditionalFormatting>
  <conditionalFormatting sqref="E303:E304">
    <cfRule type="expression" dxfId="244" priority="221">
      <formula>$E303=template_label_missing_value</formula>
    </cfRule>
    <cfRule type="expression" dxfId="243" priority="220">
      <formula>$E303=template_label_ok</formula>
    </cfRule>
  </conditionalFormatting>
  <conditionalFormatting sqref="E310">
    <cfRule type="expression" dxfId="242" priority="196">
      <formula>$E$310=template_label_missing_value</formula>
    </cfRule>
    <cfRule type="expression" dxfId="241" priority="197">
      <formula>$E$310=template_label_ok</formula>
    </cfRule>
  </conditionalFormatting>
  <conditionalFormatting sqref="E540:K544">
    <cfRule type="expression" dxfId="240" priority="149">
      <formula>$E$539=TRUE</formula>
    </cfRule>
  </conditionalFormatting>
  <conditionalFormatting sqref="G76">
    <cfRule type="expression" dxfId="239" priority="173">
      <formula>$G$75=TRUE</formula>
    </cfRule>
  </conditionalFormatting>
  <conditionalFormatting sqref="G293:G295">
    <cfRule type="expression" dxfId="238" priority="143">
      <formula>$G293=template_label_missing_value</formula>
    </cfRule>
    <cfRule type="expression" dxfId="237" priority="144">
      <formula>$G293=template_label_ok</formula>
    </cfRule>
    <cfRule type="expression" dxfId="236" priority="23">
      <formula>$G293=template_label_value_inconsistency</formula>
    </cfRule>
  </conditionalFormatting>
  <conditionalFormatting sqref="G80:I82">
    <cfRule type="expression" dxfId="235" priority="16">
      <formula>$G$74=TRUE</formula>
    </cfRule>
  </conditionalFormatting>
  <conditionalFormatting sqref="G12:J13">
    <cfRule type="expression" dxfId="234" priority="165">
      <formula>$G$10=TRUE</formula>
    </cfRule>
  </conditionalFormatting>
  <conditionalFormatting sqref="G14:J14">
    <cfRule type="expression" dxfId="233" priority="34">
      <formula>$G$10=FALSE</formula>
    </cfRule>
  </conditionalFormatting>
  <conditionalFormatting sqref="G21:J24">
    <cfRule type="expression" dxfId="232" priority="164">
      <formula>$J$19=TRUE</formula>
    </cfRule>
  </conditionalFormatting>
  <conditionalFormatting sqref="G30:J44">
    <cfRule type="expression" dxfId="231" priority="30">
      <formula>AND($G$29=TRUE,$J$19=TRUE)</formula>
    </cfRule>
  </conditionalFormatting>
  <conditionalFormatting sqref="G45:J47">
    <cfRule type="expression" dxfId="230" priority="28">
      <formula>OR($J$19=FALSE,$G$29=FALSE)</formula>
    </cfRule>
  </conditionalFormatting>
  <conditionalFormatting sqref="G80:J82">
    <cfRule type="expression" dxfId="229" priority="14">
      <formula>$G$75=TRUE</formula>
    </cfRule>
  </conditionalFormatting>
  <conditionalFormatting sqref="G10:K10">
    <cfRule type="expression" dxfId="228" priority="166">
      <formula>$D$105="YES"</formula>
    </cfRule>
  </conditionalFormatting>
  <conditionalFormatting sqref="G68:K69">
    <cfRule type="expression" dxfId="227" priority="93">
      <formula>$G$29=FALSE</formula>
    </cfRule>
  </conditionalFormatting>
  <conditionalFormatting sqref="G75:K75">
    <cfRule type="expression" dxfId="226" priority="159">
      <formula>$G$74=TRUE</formula>
    </cfRule>
  </conditionalFormatting>
  <conditionalFormatting sqref="G83:K179">
    <cfRule type="expression" dxfId="225" priority="157">
      <formula>$G$75=TRUE</formula>
    </cfRule>
    <cfRule type="expression" dxfId="224" priority="160">
      <formula>$G$74=TRUE</formula>
    </cfRule>
    <cfRule type="expression" dxfId="223" priority="172">
      <formula>$G$75=TRUE</formula>
    </cfRule>
  </conditionalFormatting>
  <conditionalFormatting sqref="G188:K188">
    <cfRule type="expression" dxfId="222" priority="155">
      <formula>$G$184=TRUE</formula>
    </cfRule>
  </conditionalFormatting>
  <conditionalFormatting sqref="H316">
    <cfRule type="expression" dxfId="221" priority="192">
      <formula>$H$316=template_label_missing_value</formula>
    </cfRule>
    <cfRule type="expression" dxfId="220" priority="191">
      <formula>$H$316=template_label_ok</formula>
    </cfRule>
  </conditionalFormatting>
  <conditionalFormatting sqref="H317">
    <cfRule type="expression" dxfId="219" priority="189">
      <formula>$H$317=template_label_ok</formula>
    </cfRule>
    <cfRule type="expression" dxfId="218" priority="188">
      <formula>$H$317=template_label_missing_value</formula>
    </cfRule>
    <cfRule type="expression" dxfId="217" priority="1">
      <formula>$H$317=template_label_value_inconsistency</formula>
    </cfRule>
  </conditionalFormatting>
  <conditionalFormatting sqref="J80:J82">
    <cfRule type="expression" dxfId="216" priority="13">
      <formula>$G$74=TRUE</formula>
    </cfRule>
  </conditionalFormatting>
  <conditionalFormatting sqref="J80:K82">
    <cfRule type="expression" dxfId="215" priority="11">
      <formula>$G$75=TRUE</formula>
    </cfRule>
  </conditionalFormatting>
  <conditionalFormatting sqref="K30:K44">
    <cfRule type="expression" dxfId="214" priority="2">
      <formula>AND($G30&lt;&gt;"", $J30&lt;&gt;"")</formula>
    </cfRule>
  </conditionalFormatting>
  <conditionalFormatting sqref="K30:K47">
    <cfRule type="expression" dxfId="213" priority="27">
      <formula>OR($J$19=FALSE,$G$29=FALSE)</formula>
    </cfRule>
  </conditionalFormatting>
  <conditionalFormatting sqref="K80:K82">
    <cfRule type="expression" dxfId="212" priority="10">
      <formula>$G$74=TRUE</formula>
    </cfRule>
    <cfRule type="expression" dxfId="211" priority="9">
      <formula>$G$75=TRUE</formula>
    </cfRule>
  </conditionalFormatting>
  <conditionalFormatting sqref="K293:K294">
    <cfRule type="expression" dxfId="210" priority="231">
      <formula>$K$293="OK"</formula>
    </cfRule>
    <cfRule type="expression" dxfId="209" priority="237">
      <formula>$K$293="MISSING VALUE"</formula>
    </cfRule>
  </conditionalFormatting>
  <conditionalFormatting sqref="K295:K298 K300 K536">
    <cfRule type="expression" dxfId="208" priority="223">
      <formula>$K295="OK"</formula>
    </cfRule>
    <cfRule type="expression" dxfId="207" priority="222">
      <formula>$K295="MISSING VALUE"</formula>
    </cfRule>
  </conditionalFormatting>
  <conditionalFormatting sqref="K435:K534">
    <cfRule type="expression" dxfId="206" priority="235">
      <formula>$K435=template_label_missing_value</formula>
    </cfRule>
    <cfRule type="expression" dxfId="205" priority="236">
      <formula>$K435=template_label_ok</formula>
    </cfRule>
  </conditionalFormatting>
  <conditionalFormatting sqref="L5">
    <cfRule type="expression" dxfId="204" priority="195">
      <formula>$L$5=template_label_missing_value</formula>
    </cfRule>
    <cfRule type="expression" dxfId="203" priority="193">
      <formula>$L$5= template_label_ok</formula>
    </cfRule>
  </conditionalFormatting>
  <conditionalFormatting sqref="L12">
    <cfRule type="expression" dxfId="202" priority="24">
      <formula>$L$12=template_label_value_inconsistency</formula>
    </cfRule>
    <cfRule type="expression" dxfId="201" priority="148">
      <formula>$L$12=template_label_missing_value</formula>
    </cfRule>
    <cfRule type="expression" dxfId="200" priority="218">
      <formula>$L12=template_label_ok</formula>
    </cfRule>
  </conditionalFormatting>
  <conditionalFormatting sqref="L21">
    <cfRule type="expression" dxfId="199" priority="200">
      <formula>$L$21=template_label_missing_value</formula>
    </cfRule>
    <cfRule type="expression" dxfId="198" priority="201">
      <formula>$L$21=template_label_ok</formula>
    </cfRule>
  </conditionalFormatting>
  <conditionalFormatting sqref="L22">
    <cfRule type="expression" dxfId="197" priority="211">
      <formula>$L$22="OK"</formula>
    </cfRule>
  </conditionalFormatting>
  <conditionalFormatting sqref="L22:L24">
    <cfRule type="expression" dxfId="196" priority="205">
      <formula>$L22=template_label_missing_value</formula>
    </cfRule>
  </conditionalFormatting>
  <conditionalFormatting sqref="L23:L24">
    <cfRule type="expression" dxfId="195" priority="206">
      <formula>$L23=template_label_ok</formula>
    </cfRule>
  </conditionalFormatting>
  <conditionalFormatting sqref="L30:L44">
    <cfRule type="expression" dxfId="194" priority="32">
      <formula>$L$30=template_label_ok</formula>
    </cfRule>
    <cfRule type="expression" dxfId="193" priority="33">
      <formula>$L$30=template_label_missing_value</formula>
    </cfRule>
  </conditionalFormatting>
  <conditionalFormatting sqref="L45">
    <cfRule type="expression" dxfId="192" priority="384">
      <formula>$L$45="OK"</formula>
    </cfRule>
    <cfRule type="expression" dxfId="191" priority="383">
      <formula>$L$45="MISSING VALUE"</formula>
    </cfRule>
  </conditionalFormatting>
  <conditionalFormatting sqref="L52">
    <cfRule type="expression" dxfId="190" priority="147">
      <formula>$L$52=template_label_missing_value</formula>
    </cfRule>
    <cfRule type="expression" dxfId="189" priority="234">
      <formula>$L$52=template_label_ok</formula>
    </cfRule>
  </conditionalFormatting>
  <conditionalFormatting sqref="L56:L59 L62">
    <cfRule type="expression" dxfId="188" priority="176">
      <formula>$L56=template_label_error</formula>
    </cfRule>
    <cfRule type="expression" dxfId="187" priority="179">
      <formula>$L56=template_label_missing_value</formula>
    </cfRule>
    <cfRule type="expression" dxfId="186" priority="180">
      <formula>$L56=template_label_ok</formula>
    </cfRule>
  </conditionalFormatting>
  <conditionalFormatting sqref="L62">
    <cfRule type="expression" dxfId="185" priority="232">
      <formula>$L$62="OK"</formula>
    </cfRule>
  </conditionalFormatting>
  <conditionalFormatting sqref="L74:L75">
    <cfRule type="expression" dxfId="184" priority="170">
      <formula>$L74=template_label_value_inconsistency</formula>
    </cfRule>
  </conditionalFormatting>
  <conditionalFormatting sqref="L74:L76">
    <cfRule type="expression" dxfId="183" priority="171">
      <formula>$L74=template_label_ok</formula>
    </cfRule>
  </conditionalFormatting>
  <conditionalFormatting sqref="L76">
    <cfRule type="expression" dxfId="182" priority="7">
      <formula>$L$76=template_label_invalid_url</formula>
    </cfRule>
    <cfRule type="expression" dxfId="181" priority="169">
      <formula>$L$76=template_label_missing_value</formula>
    </cfRule>
  </conditionalFormatting>
  <conditionalFormatting sqref="L78">
    <cfRule type="expression" dxfId="180" priority="177">
      <formula>$L$78=template_label_ok</formula>
    </cfRule>
    <cfRule type="expression" dxfId="179" priority="178">
      <formula>$L$78=template_label_missing_value</formula>
    </cfRule>
    <cfRule type="expression" dxfId="178" priority="6">
      <formula>$L$78=template_label_value_inconsistency</formula>
    </cfRule>
  </conditionalFormatting>
  <conditionalFormatting sqref="L80:L179">
    <cfRule type="expression" dxfId="177" priority="22">
      <formula>$L80=template_label_value_inconsistency</formula>
    </cfRule>
    <cfRule type="expression" dxfId="176" priority="175">
      <formula>$L80=template_label_ok</formula>
    </cfRule>
    <cfRule type="expression" dxfId="175" priority="174">
      <formula>$L80=template_label_missing_value</formula>
    </cfRule>
  </conditionalFormatting>
  <conditionalFormatting sqref="L186">
    <cfRule type="expression" dxfId="174" priority="186">
      <formula>$L$186=template_label_missing_value</formula>
    </cfRule>
    <cfRule type="expression" dxfId="173" priority="185">
      <formula>$L$186=template_label_ok</formula>
    </cfRule>
  </conditionalFormatting>
  <conditionalFormatting sqref="L188">
    <cfRule type="expression" dxfId="172" priority="84">
      <formula>$D$188=template_label_value_inconsistency</formula>
    </cfRule>
  </conditionalFormatting>
  <conditionalFormatting sqref="L188:L287">
    <cfRule type="expression" dxfId="171" priority="238">
      <formula>$L188=template_label_missing_value</formula>
    </cfRule>
    <cfRule type="expression" dxfId="170" priority="187">
      <formula>$L188=template_label_value_inconcistency</formula>
    </cfRule>
    <cfRule type="expression" dxfId="169" priority="239">
      <formula>$L188=template_label_ok</formula>
    </cfRule>
  </conditionalFormatting>
  <conditionalFormatting sqref="L189:L287">
    <cfRule type="expression" dxfId="168" priority="83">
      <formula>$D$189=template_label_value_inconsistency</formula>
    </cfRule>
  </conditionalFormatting>
  <conditionalFormatting sqref="L190">
    <cfRule type="expression" dxfId="167" priority="82">
      <formula>$D$190=template_label_value_inconsistency</formula>
    </cfRule>
  </conditionalFormatting>
  <conditionalFormatting sqref="L191">
    <cfRule type="expression" dxfId="166" priority="85">
      <formula>$D$191=template_label_value_inconsistency</formula>
    </cfRule>
  </conditionalFormatting>
  <conditionalFormatting sqref="L192">
    <cfRule type="expression" dxfId="165" priority="81">
      <formula>$D$192=template_label_value_inconsistency</formula>
    </cfRule>
  </conditionalFormatting>
  <conditionalFormatting sqref="L193">
    <cfRule type="expression" dxfId="164" priority="56">
      <formula>$D$193=template_label_value_inconsistency</formula>
    </cfRule>
  </conditionalFormatting>
  <conditionalFormatting sqref="L194:L287">
    <cfRule type="expression" dxfId="163" priority="55">
      <formula>$D$194=template_label_value_inconsistency</formula>
    </cfRule>
  </conditionalFormatting>
  <conditionalFormatting sqref="L195">
    <cfRule type="expression" dxfId="162" priority="54">
      <formula>$D$195=template_label_value_inconsistency</formula>
    </cfRule>
  </conditionalFormatting>
  <conditionalFormatting sqref="L196">
    <cfRule type="expression" dxfId="161" priority="53">
      <formula>$D$196=template_label_value_inconsistency</formula>
    </cfRule>
  </conditionalFormatting>
  <conditionalFormatting sqref="L197">
    <cfRule type="expression" dxfId="160" priority="52">
      <formula>$D$197=template_label_value_inconsistency</formula>
    </cfRule>
  </conditionalFormatting>
  <conditionalFormatting sqref="L198">
    <cfRule type="expression" dxfId="159" priority="51">
      <formula>$D$198=template_label_value_inconsistency</formula>
    </cfRule>
  </conditionalFormatting>
  <conditionalFormatting sqref="L199">
    <cfRule type="expression" dxfId="158" priority="50">
      <formula>$D$199=template_label_value_inconsistency</formula>
    </cfRule>
  </conditionalFormatting>
  <conditionalFormatting sqref="L200">
    <cfRule type="expression" dxfId="157" priority="49">
      <formula>$D$200=template_label_value_inconsistency</formula>
    </cfRule>
  </conditionalFormatting>
  <conditionalFormatting sqref="L201">
    <cfRule type="expression" dxfId="156" priority="48">
      <formula>$D$201=template_label_value_inconsistency</formula>
    </cfRule>
  </conditionalFormatting>
  <conditionalFormatting sqref="L202">
    <cfRule type="expression" dxfId="155" priority="47">
      <formula>$D$202=template_label_value_inconsistency</formula>
    </cfRule>
  </conditionalFormatting>
  <conditionalFormatting sqref="L203">
    <cfRule type="expression" dxfId="154" priority="46">
      <formula>$D$203=template_label_value_inconsistency</formula>
    </cfRule>
  </conditionalFormatting>
  <conditionalFormatting sqref="L204">
    <cfRule type="expression" dxfId="153" priority="45">
      <formula>$D$204=template_label_value_inconsistency</formula>
    </cfRule>
  </conditionalFormatting>
  <conditionalFormatting sqref="L205">
    <cfRule type="expression" dxfId="152" priority="44">
      <formula>$D$205=template_label_value_inconsistency</formula>
    </cfRule>
  </conditionalFormatting>
  <conditionalFormatting sqref="L206">
    <cfRule type="expression" dxfId="151" priority="43">
      <formula>$D$206=template_label_value_inconsistency</formula>
    </cfRule>
  </conditionalFormatting>
  <conditionalFormatting sqref="L207:L208">
    <cfRule type="expression" dxfId="150" priority="41">
      <formula>$D$207=template_label_value_inconsistency</formula>
    </cfRule>
  </conditionalFormatting>
  <conditionalFormatting sqref="L209">
    <cfRule type="expression" dxfId="149" priority="40">
      <formula>$D$209=template_label_value_inconsistency</formula>
    </cfRule>
  </conditionalFormatting>
  <conditionalFormatting sqref="L210">
    <cfRule type="expression" dxfId="148" priority="39">
      <formula>$D$210=template_label_value_inconsistency</formula>
    </cfRule>
  </conditionalFormatting>
  <conditionalFormatting sqref="L211:L285">
    <cfRule type="expression" dxfId="147" priority="38">
      <formula>$D$211=template_label_value_inconsistency</formula>
    </cfRule>
  </conditionalFormatting>
  <conditionalFormatting sqref="L286">
    <cfRule type="expression" dxfId="146" priority="37">
      <formula>$D$286=template_label_value_inconsistency</formula>
    </cfRule>
  </conditionalFormatting>
  <conditionalFormatting sqref="L287">
    <cfRule type="expression" dxfId="145" priority="36">
      <formula>$D$287=template_label_value_inconsistency</formula>
    </cfRule>
  </conditionalFormatting>
  <conditionalFormatting sqref="L540:L544">
    <cfRule type="expression" dxfId="144" priority="145">
      <formula>$L540=template_label_missing_value</formula>
    </cfRule>
    <cfRule type="expression" dxfId="143" priority="229">
      <formula>$L540=template_label_ok</formula>
    </cfRule>
  </conditionalFormatting>
  <conditionalFormatting sqref="M323:M423">
    <cfRule type="expression" dxfId="142" priority="380">
      <formula>$M323=template_label_error</formula>
    </cfRule>
    <cfRule type="expression" dxfId="141" priority="381">
      <formula>$M323=template_label_missing_value</formula>
    </cfRule>
    <cfRule type="expression" dxfId="140" priority="382">
      <formula>$M323=template_label_ok</formula>
    </cfRule>
    <cfRule type="expression" dxfId="139" priority="21">
      <formula>$M323=template_label_value_inconsistency</formula>
    </cfRule>
  </conditionalFormatting>
  <conditionalFormatting sqref="M548">
    <cfRule type="expression" dxfId="138"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7" r:id="rId32" location="id-81" display="35-36" xr:uid="{9EB17F31-FED5-4A9A-843D-A89DC4708454}"/>
    <hyperlink ref="C308" r:id="rId33" location="id-268" display="142-155" xr:uid="{62AC2A99-3F34-4CBE-BDAF-11563855801F}"/>
    <hyperlink ref="C17:D17" r:id="rId34" location="id-70" display="https://xbrl.efrag.org/e-esrs/2024-12-17-efrag-vsme.xhtml - id-70" xr:uid="{365B931A-E911-46E5-8026-EF90DCBF85DB}"/>
    <hyperlink ref="C27:D27" r:id="rId35" location="id-112" display="50-53" xr:uid="{3DBD1A28-DC3E-40DC-9509-EA926F607751}"/>
    <hyperlink ref="G27:J27" r:id="rId36" display="https://xbrl.efrag.org/eng/interactive/vsme/vsme-standard-annex-i/2025-07-30-ec-rec/54/d" xr:uid="{FA2393F6-873E-45A0-B6D3-FA6AD5E1230A}"/>
    <hyperlink ref="A59" r:id="rId37" location="id-123" display="https://xbrl.efrag.org/e-esrs/2024-12-17-efrag-vsme.xhtml - id-123" xr:uid="{5155F932-F89F-44F2-BA89-74CDEA4817F0}"/>
    <hyperlink ref="C9" r:id="rId38" location="id-182" display="82-89" xr:uid="{029124E6-E37E-4A98-93EE-BBDACB0FCB2C}"/>
    <hyperlink ref="A56" r:id="rId39" display="https://xbrl.efrag.org/eng/interactive/vsme/vsme-standard-annex-i/2025-07-30-ec-rec/55" xr:uid="{23B02246-8F88-4A95-9887-8E8471F2E145}"/>
    <hyperlink ref="B56" r:id="rId40" xr:uid="{9F22D8E3-2E8E-40D0-AC4E-03DD91E3F81F}"/>
    <hyperlink ref="C307:D307" r:id="rId41"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2" display="https://xbrl.efrag.org/eng/interactive/vsme/vsme-standard-annex-i/2025-07-30-ec-rec/29" xr:uid="{A7F34C4A-10FB-4424-87DE-42EEA8CEA76B}"/>
    <hyperlink ref="C17:F17" r:id="rId43" display="https://xbrl.efrag.org/eng/interactive/vsme/vsme-standard-annex-i/2025-07-30-ec-rec/30" xr:uid="{6C59972C-0668-42F7-8CCD-9AE86FBC38EC}"/>
    <hyperlink ref="G17:I17" r:id="rId44" display="54(b)" xr:uid="{364F15A6-5B4F-4259-A406-B7092E211F2F}"/>
    <hyperlink ref="C27:F27" r:id="rId45" display="50-53" xr:uid="{8F729633-44CB-405F-AA82-B6C89F3DC8FB}"/>
    <hyperlink ref="C50:K50" r:id="rId46" display="54(e)" xr:uid="{81FE59B6-40CF-4742-9ED9-F7B4E2BB2BA2}"/>
    <hyperlink ref="A59:A62" r:id="rId47" display="https://xbrl.efrag.org/eng/interactive/vsme/vsme-standard-annex-i/2025-07-30-ec-rec/56" xr:uid="{E5EC0612-0918-4B4B-A021-782AE8A55141}"/>
    <hyperlink ref="C65:K65" r:id="rId48" display="https://xbrl.efrag.org/eng/interactive/vsme/vsme-standard-annex-i/2025-07-30-ec-rec/31" xr:uid="{6BA0BFF5-A51C-400C-923E-90191FD8A81A}"/>
    <hyperlink ref="C72:K72" r:id="rId49" display="https://xbrl.efrag.org/eng/interactive/vsme/vsme-standard-annex-i/2025-07-30-ec-rec/32" xr:uid="{E0C050FC-D9FD-4445-912B-9ECE1F8C79C6}"/>
    <hyperlink ref="C182:K182" r:id="rId50" display="https://xbrl.efrag.org/eng/interactive/vsme/vsme-standard-annex-i/2025-07-30-ec-rec/33" xr:uid="{18D02725-37E9-4912-AE40-1A2F1932692F}"/>
    <hyperlink ref="C290:F290" r:id="rId51" display="https://xbrl.efrag.org/eng/interactive/vsme/vsme-standard-annex-i/2025-07-30-ec-rec/34" xr:uid="{1E725C46-C679-4052-AC6C-9B43FAF420E9}"/>
    <hyperlink ref="C301:D301" r:id="rId52" display="https://xbrl.efrag.org/eng/interactive/vsme/vsme-standard-annex-i/2025-07-30-ec-rec/35" xr:uid="{C5F7B0AA-FEE2-4F07-BF55-E0D6B598140A}"/>
    <hyperlink ref="C314:G314" r:id="rId53" display="https://xbrl.efrag.org/eng/interactive/vsme/vsme-standard-annex-i/2025-07-30-ec-rec/37" xr:uid="{CF11B702-3061-477D-9A98-D7C8FC2FC832}"/>
    <hyperlink ref="C320:L320" r:id="rId54" display="38(a) and 38(b)" xr:uid="{2916048F-E00D-4F8E-AA1D-D98CC76634A5}"/>
    <hyperlink ref="C431:J431" r:id="rId55" display="38(c)" xr:uid="{A7A770CA-3A79-460E-AE7B-758D7EA2788E}"/>
    <hyperlink ref="C547:L547" r:id="rId56" display="https://xbrl.efrag.org/eng/interactive/vsme/vsme-standard-annex-i/2025-07-30-ec-rec/10" xr:uid="{6FEDD8C0-AEF6-4F30-9CF0-705DD5797E5C}"/>
    <hyperlink ref="C4:K4" r:id="rId57" display="18-25" xr:uid="{9EF65291-E505-474B-9BE5-B5513B30FAE6}"/>
    <hyperlink ref="C9:K9" r:id="rId58" display="18-25" xr:uid="{7644CC2E-A677-4966-AD28-38088652B08F}"/>
    <hyperlink ref="D18:F18" r:id="rId59" display="26-45" xr:uid="{54415CE9-C842-4018-BC58-63FE91DAE286}"/>
    <hyperlink ref="G18:I18" r:id="rId60" display="152-158" xr:uid="{A90AEE1E-5ECE-408D-9BD8-277E2DDFCB76}"/>
    <hyperlink ref="K18" r:id="rId61" xr:uid="{0BF03DAE-C5A3-44DA-BFFE-62B915B319D5}"/>
    <hyperlink ref="J18" r:id="rId62" xr:uid="{0ABBAA9C-B0D1-4D7C-9925-9696EA01191B}"/>
    <hyperlink ref="D28:F28" r:id="rId63" display="150-151" xr:uid="{6241CA82-2598-4088-946B-5FE503CFC4E2}"/>
    <hyperlink ref="C51:K51" r:id="rId64" display="https://xbrl.efrag.org/eng/interactive/vsme/vsme-guidance-annex-ii/2025-07-30-ec-rec/159" xr:uid="{9853AE71-58EB-44FC-8CCE-6D936F389CAD}"/>
    <hyperlink ref="B59:B62" r:id="rId65" display="160-163" xr:uid="{1AAF8898-D351-4F85-AB32-DF4AFB737470}"/>
    <hyperlink ref="C73:K73" r:id="rId66" display="46-69" xr:uid="{093BCEF6-7E0E-4310-B894-FE2122CAA6D0}"/>
    <hyperlink ref="C183:K183" r:id="rId67" display="70-73" xr:uid="{ADDB76C3-31EF-4D03-989E-01BA41940AF0}"/>
    <hyperlink ref="C291:F291" r:id="rId68" display="74-76" xr:uid="{838EAE7C-DEF6-45AF-93B2-5485EB91BDBA}"/>
    <hyperlink ref="C308:D308" r:id="rId69" display="77-90" xr:uid="{049A5BD7-EF46-4CF5-878F-A00421D86BF2}"/>
    <hyperlink ref="C315:G315" r:id="rId70" display="https://xbrl.efrag.org/eng/interactive/vsme/vsme-guidance-annex-ii/2025-07-30-ec-rec/94" xr:uid="{D20F3F3A-72EE-4E84-8911-A4E5F49DEFBB}"/>
    <hyperlink ref="C321:L321" r:id="rId71" display="95-107" xr:uid="{5A214E87-D657-4C42-B387-6E155E48A5C4}"/>
    <hyperlink ref="C432:J432" r:id="rId72" display="108-109" xr:uid="{0AB5E17B-E870-404D-AFF4-29BA2E5C3CDB}"/>
    <hyperlink ref="A57" r:id="rId73" display="https://xbrl.efrag.org/eng/interactive/vsme/vsme-standard-annex-i/2025-07-30-ec-rec/55" xr:uid="{B6903554-697A-4452-BEBE-247674A76982}"/>
    <hyperlink ref="A58" r:id="rId74" display="https://xbrl.efrag.org/eng/interactive/vsme/vsme-standard-annex-i/2025-07-30-ec-rec/55" xr:uid="{D40997F3-EF24-42C9-B393-8ADB9CCD237A}"/>
    <hyperlink ref="C8" r:id="rId75" location="id-69" display="https://xbrl.efrag.org/e-esrs/2024-12-17-efrag-vsme.xhtml - id-69" xr:uid="{F3F27717-5413-4050-89AF-53FE39F2890B}"/>
    <hyperlink ref="C8:K8" r:id="rId76" display="https://xbrl.efrag.org/eng/interactive/vsme/vsme-standard-annex-i/2025-07-30-ec-rec/29" xr:uid="{0387C2A5-8C66-45EA-B369-FB19C4F01A64}"/>
    <hyperlink ref="B544" r:id="rId77" xr:uid="{AC7CCD47-0010-4354-8D4F-FA1ED42CD433}"/>
    <hyperlink ref="B57" r:id="rId78" xr:uid="{59702F8A-53C4-4D6F-88E3-3025243DA959}"/>
    <hyperlink ref="B58" r:id="rId79" xr:uid="{9AF9DFDD-D473-498C-9909-9497928C6F53}"/>
    <hyperlink ref="B541" r:id="rId80" xr:uid="{108E1487-6984-4E23-821C-A1ED53D1FEFD}"/>
    <hyperlink ref="B542" r:id="rId81" xr:uid="{F192B5CB-E03F-42CC-A5C4-D47E630D689F}"/>
    <hyperlink ref="B543" r:id="rId82" xr:uid="{F5FDA725-30B0-43F6-920A-EC7CD1344B13}"/>
    <hyperlink ref="C302:D302" r:id="rId83" display="77-93" xr:uid="{BA6B27B9-AC75-4DCB-9188-82232766C1C9}"/>
  </hyperlinks>
  <pageMargins left="0.7" right="0.7" top="0.75" bottom="0.75" header="0.3" footer="0.3"/>
  <pageSetup orientation="portrait" r:id="rId84"/>
  <drawing r:id="rId8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Riferimento al paragrafo</v>
      </c>
      <c r="B1" s="257" t="str">
        <f>template_label_paragraph_guidance_reference</f>
        <v xml:space="preserve">Riferimento al paragrafo degli orientamenti
</v>
      </c>
    </row>
    <row r="2" spans="1:8" ht="15" thickBot="1" x14ac:dyDescent="0.35">
      <c r="C2" s="971" t="str">
        <f>template_label_employee_counting_methodology_for_the_disclosures_below_headcount_full_time_equivalent</f>
        <v>Metodologia di conteggio dei dipendenti per le informative seguenti (effettivi o equivalenti a tempo pieno collegati da B1)</v>
      </c>
      <c r="D2" s="972"/>
      <c r="E2" s="973"/>
      <c r="F2" s="974" t="str">
        <f>IF('General Information'!$E$330="","-",'General Information'!$E$330)</f>
        <v>Full-time equivalent (FTE)</v>
      </c>
      <c r="G2" s="974"/>
      <c r="H2" s="975"/>
    </row>
    <row r="3" spans="1:8" ht="15" thickBot="1" x14ac:dyDescent="0.35">
      <c r="C3" s="971" t="str">
        <f>template_label_employee_counting_methodology_for_the_disclosures_below_period</f>
        <v>Metodologia di conteggio dei dipendenti per le informative seguenti (Alla fine del periodo di riferimento o come media nel periodo di riferimento collegata da B1)</v>
      </c>
      <c r="D3" s="972"/>
      <c r="E3" s="973"/>
      <c r="F3" s="976" t="str">
        <f>IF('General Information'!$E$329="","-",'General Information'!$E$329)</f>
        <v>As an average across the reporting period</v>
      </c>
      <c r="G3" s="977"/>
      <c r="H3" s="978"/>
    </row>
    <row r="5" spans="1:8" ht="15" thickBot="1" x14ac:dyDescent="0.35"/>
    <row r="6" spans="1:8" x14ac:dyDescent="0.3">
      <c r="C6" s="592" t="str">
        <f>template_label_b8_workforce_general_characteristics_type_of_contract&amp;" "&amp;template_label_always_to_be_reported</f>
        <v>B8 – Forza lavoro – Caratteristiche generali - Tipo di contratto [Sempre da riportare]</v>
      </c>
      <c r="D6" s="912"/>
      <c r="E6" s="912"/>
      <c r="F6" s="912"/>
      <c r="G6" s="913"/>
      <c r="H6"/>
    </row>
    <row r="7" spans="1:8" x14ac:dyDescent="0.3">
      <c r="C7" s="585" t="s">
        <v>3754</v>
      </c>
      <c r="D7" s="586"/>
      <c r="E7" s="586"/>
      <c r="F7" s="586"/>
      <c r="G7" s="587"/>
    </row>
    <row r="8" spans="1:8" x14ac:dyDescent="0.3">
      <c r="C8" s="736" t="s">
        <v>5655</v>
      </c>
      <c r="D8" s="989"/>
      <c r="E8" s="989"/>
      <c r="F8" s="989"/>
      <c r="G8" s="990"/>
    </row>
    <row r="9" spans="1:8" x14ac:dyDescent="0.3">
      <c r="C9" s="148" t="str">
        <f>template_label_type_of_contract</f>
        <v>Tipo di contratto</v>
      </c>
      <c r="D9" s="991" t="str">
        <f>template_label_number_of_employees</f>
        <v>Numero di dipendenti</v>
      </c>
      <c r="E9" s="992"/>
      <c r="F9" s="992"/>
      <c r="G9" s="993"/>
      <c r="H9" s="149"/>
    </row>
    <row r="10" spans="1:8" x14ac:dyDescent="0.3">
      <c r="C10" s="150" t="str">
        <f>template_label_permanent_contract</f>
        <v xml:space="preserve">Contratto permanente
</v>
      </c>
      <c r="D10" s="982">
        <v>110</v>
      </c>
      <c r="E10" s="983"/>
      <c r="F10" s="983"/>
      <c r="G10" s="984"/>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Contratto temporaneo</v>
      </c>
      <c r="D11" s="994">
        <f>IFERROR(IF(D10="", "-", $D$12 - $D$10), "-")</f>
        <v>41</v>
      </c>
      <c r="E11" s="995"/>
      <c r="F11" s="995"/>
      <c r="G11" s="996"/>
      <c r="H11" s="15"/>
    </row>
    <row r="12" spans="1:8" ht="15" thickBot="1" x14ac:dyDescent="0.35">
      <c r="C12" s="151" t="str">
        <f>template_label_total_employees</f>
        <v>Totale dipendenti (collegato a B1)</v>
      </c>
      <c r="D12" s="997">
        <f>IF('General Information'!$E$328="", "-", VALUE(SUBSTITUTE('General Information'!$E$328, "-", "0")))</f>
        <v>151</v>
      </c>
      <c r="E12" s="997"/>
      <c r="F12" s="997"/>
      <c r="G12" s="998"/>
      <c r="H12" s="17"/>
    </row>
    <row r="13" spans="1:8" ht="15" thickBot="1" x14ac:dyDescent="0.35"/>
    <row r="14" spans="1:8" x14ac:dyDescent="0.3">
      <c r="C14" s="592" t="str">
        <f>template_label_b8_workforce_general_characteristics_gender&amp;" "&amp;template_label_always_to_be_reported</f>
        <v>B8 – Forza lavoro – Caratteristiche generali - Genere
 [Sempre da riportare]</v>
      </c>
      <c r="D14" s="912"/>
      <c r="E14" s="912"/>
      <c r="F14" s="912"/>
      <c r="G14" s="913"/>
      <c r="H14"/>
    </row>
    <row r="15" spans="1:8" x14ac:dyDescent="0.3">
      <c r="C15" s="585" t="s">
        <v>3755</v>
      </c>
      <c r="D15" s="586"/>
      <c r="E15" s="586"/>
      <c r="F15" s="586"/>
      <c r="G15" s="587"/>
    </row>
    <row r="16" spans="1:8" x14ac:dyDescent="0.3">
      <c r="C16" s="736" t="s">
        <v>5655</v>
      </c>
      <c r="D16" s="949"/>
      <c r="E16" s="949"/>
      <c r="F16" s="949"/>
      <c r="G16" s="798"/>
    </row>
    <row r="17" spans="3:22" x14ac:dyDescent="0.3">
      <c r="C17" s="152" t="str">
        <f>template_label_gender</f>
        <v>Genere</v>
      </c>
      <c r="D17" s="979" t="str">
        <f>template_label_number_of_employees</f>
        <v>Numero di dipendenti</v>
      </c>
      <c r="E17" s="980"/>
      <c r="F17" s="980"/>
      <c r="G17" s="981"/>
    </row>
    <row r="18" spans="3:22" x14ac:dyDescent="0.3">
      <c r="C18" s="153" t="str">
        <f>template_label_male</f>
        <v>Uomini</v>
      </c>
      <c r="D18" s="982">
        <v>55</v>
      </c>
      <c r="E18" s="983"/>
      <c r="F18" s="983"/>
      <c r="G18" s="984"/>
      <c r="H18" s="985"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969" t="str">
        <f>template_label_number_of_employees_warning</f>
        <v>ℹ️ Si prega di assicurarsi che il numero totale di dipendenti sia lo stesso indicato nella cella E55 del foglio "Informazioni Generali"</v>
      </c>
      <c r="J18" s="969"/>
      <c r="K18" s="969"/>
      <c r="L18" s="969"/>
      <c r="M18" s="969"/>
    </row>
    <row r="19" spans="3:22" x14ac:dyDescent="0.3">
      <c r="C19" s="153" t="str">
        <f>template_label_female</f>
        <v>Donne</v>
      </c>
      <c r="D19" s="982">
        <v>40</v>
      </c>
      <c r="E19" s="983"/>
      <c r="F19" s="983"/>
      <c r="G19" s="984"/>
      <c r="H19" s="985"/>
      <c r="I19" s="969"/>
      <c r="J19" s="969"/>
      <c r="K19" s="969"/>
      <c r="L19" s="969"/>
      <c r="M19" s="969"/>
    </row>
    <row r="20" spans="3:22" x14ac:dyDescent="0.3">
      <c r="C20" s="153" t="str">
        <f>template_label_other</f>
        <v>Altro</v>
      </c>
      <c r="D20" s="982">
        <v>5</v>
      </c>
      <c r="E20" s="983"/>
      <c r="F20" s="983"/>
      <c r="G20" s="984"/>
      <c r="H20" s="985"/>
      <c r="I20" s="969"/>
      <c r="J20" s="969"/>
      <c r="K20" s="969"/>
      <c r="L20" s="969"/>
      <c r="M20" s="969"/>
    </row>
    <row r="21" spans="3:22" x14ac:dyDescent="0.3">
      <c r="C21" s="153" t="str">
        <f>template_label_not_reported</f>
        <v>Non comunicato</v>
      </c>
      <c r="D21" s="986">
        <v>51</v>
      </c>
      <c r="E21" s="987"/>
      <c r="F21" s="987"/>
      <c r="G21" s="988"/>
      <c r="H21" s="985"/>
      <c r="I21" s="969"/>
      <c r="J21" s="969"/>
      <c r="K21" s="969"/>
      <c r="L21" s="969"/>
      <c r="M21" s="969"/>
    </row>
    <row r="22" spans="3:22" ht="15" thickBot="1" x14ac:dyDescent="0.35">
      <c r="C22" s="151" t="str">
        <f>template_label_total_employees</f>
        <v>Totale dipendenti (collegato a B1)</v>
      </c>
      <c r="D22" s="997">
        <f>IF('General Information'!$E$328="","-",'General Information'!$E$328)</f>
        <v>151</v>
      </c>
      <c r="E22" s="997"/>
      <c r="F22" s="997"/>
      <c r="G22" s="998"/>
      <c r="H22" s="18"/>
    </row>
    <row r="23" spans="3:22" ht="15" thickBot="1" x14ac:dyDescent="0.35"/>
    <row r="24" spans="3:22" x14ac:dyDescent="0.3">
      <c r="C24" s="999" t="str">
        <f>template_label_b8_workforce_general_characteristics_country_of_employment&amp;" "&amp;template_label_if_applicable</f>
        <v>B8 – Forza lavoro – Caratteristiche generali - Paese del contratto di lavoro [Se applicabile]</v>
      </c>
      <c r="D24" s="1000"/>
      <c r="E24" s="1000"/>
      <c r="F24" s="1000"/>
      <c r="G24" s="1000"/>
      <c r="H24" s="1001"/>
    </row>
    <row r="25" spans="3:22" x14ac:dyDescent="0.3">
      <c r="C25" s="599" t="s">
        <v>3756</v>
      </c>
      <c r="D25" s="600"/>
      <c r="E25" s="600"/>
      <c r="F25" s="600"/>
      <c r="G25" s="600"/>
      <c r="H25" s="601"/>
    </row>
    <row r="26" spans="3:22" x14ac:dyDescent="0.3">
      <c r="C26" s="520" t="s">
        <v>5655</v>
      </c>
      <c r="D26" s="521"/>
      <c r="E26" s="521"/>
      <c r="F26" s="521"/>
      <c r="G26" s="521"/>
      <c r="H26" s="522"/>
    </row>
    <row r="27" spans="3:22" x14ac:dyDescent="0.3">
      <c r="C27" s="1006" t="str">
        <f>template_label_undertaking_operating_in_more_than_one_country</f>
        <v>La società opera in più di un paese?</v>
      </c>
      <c r="D27" s="1007"/>
      <c r="E27" s="804" t="b">
        <v>1</v>
      </c>
      <c r="F27" s="805"/>
      <c r="G27" s="805"/>
      <c r="H27" s="806"/>
    </row>
    <row r="28" spans="3:22" x14ac:dyDescent="0.3">
      <c r="C28" s="1002" t="str">
        <f>template_label_country_of_employment_contract</f>
        <v>Paese del contratto di lavoro</v>
      </c>
      <c r="D28" s="1003"/>
      <c r="E28" s="1004" t="str">
        <f>template_label_number_of_employees</f>
        <v>Numero di dipendenti</v>
      </c>
      <c r="F28" s="1004"/>
      <c r="G28" s="1004"/>
      <c r="H28" s="1005"/>
    </row>
    <row r="29" spans="3:22" ht="14.55" customHeight="1" x14ac:dyDescent="0.3">
      <c r="C29" s="967" t="s">
        <v>492</v>
      </c>
      <c r="D29" s="968"/>
      <c r="E29" s="965">
        <v>140</v>
      </c>
      <c r="F29" s="965"/>
      <c r="G29" s="965"/>
      <c r="H29" s="966"/>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970" t="str">
        <f>template_label_number_of_employees_warning</f>
        <v>ℹ️ Si prega di assicurarsi che il numero totale di dipendenti sia lo stesso indicato nella cella E55 del foglio "Informazioni Generali"</v>
      </c>
      <c r="K29" s="970"/>
      <c r="L29" s="970"/>
      <c r="M29" s="970"/>
      <c r="N29" s="970"/>
      <c r="O29" s="970"/>
      <c r="P29" s="970"/>
      <c r="Q29" s="970"/>
      <c r="R29" s="970"/>
      <c r="S29" s="970"/>
      <c r="T29" s="970"/>
      <c r="U29" s="970"/>
      <c r="V29" s="970"/>
    </row>
    <row r="30" spans="3:22" x14ac:dyDescent="0.3">
      <c r="C30" s="967" t="s">
        <v>124</v>
      </c>
      <c r="D30" s="968"/>
      <c r="E30" s="965">
        <v>1</v>
      </c>
      <c r="F30" s="965"/>
      <c r="G30" s="965"/>
      <c r="H30" s="966"/>
      <c r="I30" s="15" t="str">
        <f t="shared" si="0"/>
        <v>OK</v>
      </c>
      <c r="J30" s="970"/>
      <c r="K30" s="970"/>
      <c r="L30" s="970"/>
      <c r="M30" s="970"/>
      <c r="N30" s="970"/>
      <c r="O30" s="970"/>
      <c r="P30" s="970"/>
      <c r="Q30" s="970"/>
      <c r="R30" s="970"/>
      <c r="S30" s="970"/>
      <c r="T30" s="970"/>
      <c r="U30" s="970"/>
      <c r="V30" s="970"/>
    </row>
    <row r="31" spans="3:22" x14ac:dyDescent="0.3">
      <c r="C31" s="967" t="s">
        <v>64</v>
      </c>
      <c r="D31" s="968"/>
      <c r="E31" s="965">
        <v>10</v>
      </c>
      <c r="F31" s="965"/>
      <c r="G31" s="965"/>
      <c r="H31" s="966"/>
      <c r="I31" s="15" t="str">
        <f t="shared" si="0"/>
        <v>OK</v>
      </c>
      <c r="J31" s="10" t="str">
        <f>template_label_additional_rows_warning</f>
        <v>ℹ️ Le liste possono essere espanse utilizzando il pulsante piccolo [+] a sinistra. Se il numero di righe non è sufficiente, è possibile aggiungerle facendo clic con il tasto destro sulla seconda riga e selezionando "Inserisci riga".</v>
      </c>
    </row>
    <row r="32" spans="3:22" hidden="1" outlineLevel="1" x14ac:dyDescent="0.3">
      <c r="C32" s="967"/>
      <c r="D32" s="968"/>
      <c r="E32" s="965"/>
      <c r="F32" s="965"/>
      <c r="G32" s="965"/>
      <c r="H32" s="966"/>
      <c r="I32" s="15" t="str">
        <f t="shared" si="0"/>
        <v/>
      </c>
    </row>
    <row r="33" spans="3:9" hidden="1" outlineLevel="1" x14ac:dyDescent="0.3">
      <c r="C33" s="967"/>
      <c r="D33" s="968"/>
      <c r="E33" s="965"/>
      <c r="F33" s="965"/>
      <c r="G33" s="965"/>
      <c r="H33" s="966"/>
      <c r="I33" s="15" t="str">
        <f t="shared" si="0"/>
        <v/>
      </c>
    </row>
    <row r="34" spans="3:9" hidden="1" outlineLevel="1" x14ac:dyDescent="0.3">
      <c r="C34" s="967"/>
      <c r="D34" s="968"/>
      <c r="E34" s="965"/>
      <c r="F34" s="965"/>
      <c r="G34" s="965"/>
      <c r="H34" s="966"/>
      <c r="I34" s="15" t="str">
        <f t="shared" si="0"/>
        <v/>
      </c>
    </row>
    <row r="35" spans="3:9" hidden="1" outlineLevel="1" x14ac:dyDescent="0.3">
      <c r="C35" s="967"/>
      <c r="D35" s="968"/>
      <c r="E35" s="965"/>
      <c r="F35" s="965"/>
      <c r="G35" s="965"/>
      <c r="H35" s="966"/>
      <c r="I35" s="15" t="str">
        <f t="shared" si="0"/>
        <v/>
      </c>
    </row>
    <row r="36" spans="3:9" hidden="1" outlineLevel="1" x14ac:dyDescent="0.3">
      <c r="C36" s="967"/>
      <c r="D36" s="968"/>
      <c r="E36" s="965"/>
      <c r="F36" s="965"/>
      <c r="G36" s="965"/>
      <c r="H36" s="966"/>
      <c r="I36" s="15" t="str">
        <f t="shared" si="0"/>
        <v/>
      </c>
    </row>
    <row r="37" spans="3:9" hidden="1" outlineLevel="1" x14ac:dyDescent="0.3">
      <c r="C37" s="967"/>
      <c r="D37" s="968"/>
      <c r="E37" s="965"/>
      <c r="F37" s="965"/>
      <c r="G37" s="965"/>
      <c r="H37" s="966"/>
      <c r="I37" s="15" t="str">
        <f t="shared" si="0"/>
        <v/>
      </c>
    </row>
    <row r="38" spans="3:9" hidden="1" outlineLevel="1" x14ac:dyDescent="0.3">
      <c r="C38" s="967"/>
      <c r="D38" s="968"/>
      <c r="E38" s="965"/>
      <c r="F38" s="965"/>
      <c r="G38" s="965"/>
      <c r="H38" s="966"/>
      <c r="I38" s="15" t="str">
        <f t="shared" si="0"/>
        <v/>
      </c>
    </row>
    <row r="39" spans="3:9" hidden="1" outlineLevel="1" x14ac:dyDescent="0.3">
      <c r="C39" s="967"/>
      <c r="D39" s="968"/>
      <c r="E39" s="965"/>
      <c r="F39" s="965"/>
      <c r="G39" s="965"/>
      <c r="H39" s="966"/>
      <c r="I39" s="15" t="str">
        <f t="shared" si="0"/>
        <v/>
      </c>
    </row>
    <row r="40" spans="3:9" hidden="1" outlineLevel="1" x14ac:dyDescent="0.3">
      <c r="C40" s="967"/>
      <c r="D40" s="968"/>
      <c r="E40" s="965"/>
      <c r="F40" s="965"/>
      <c r="G40" s="965"/>
      <c r="H40" s="966"/>
      <c r="I40" s="15" t="str">
        <f t="shared" si="0"/>
        <v/>
      </c>
    </row>
    <row r="41" spans="3:9" hidden="1" outlineLevel="1" x14ac:dyDescent="0.3">
      <c r="C41" s="967"/>
      <c r="D41" s="968"/>
      <c r="E41" s="965"/>
      <c r="F41" s="965"/>
      <c r="G41" s="965"/>
      <c r="H41" s="966"/>
      <c r="I41" s="15" t="str">
        <f t="shared" si="0"/>
        <v/>
      </c>
    </row>
    <row r="42" spans="3:9" hidden="1" outlineLevel="1" x14ac:dyDescent="0.3">
      <c r="C42" s="967"/>
      <c r="D42" s="968"/>
      <c r="E42" s="965"/>
      <c r="F42" s="965"/>
      <c r="G42" s="965"/>
      <c r="H42" s="966"/>
      <c r="I42" s="15" t="str">
        <f t="shared" si="0"/>
        <v/>
      </c>
    </row>
    <row r="43" spans="3:9" hidden="1" outlineLevel="1" x14ac:dyDescent="0.3">
      <c r="C43" s="967"/>
      <c r="D43" s="968"/>
      <c r="E43" s="965"/>
      <c r="F43" s="965"/>
      <c r="G43" s="965"/>
      <c r="H43" s="966"/>
      <c r="I43" s="15" t="str">
        <f t="shared" si="0"/>
        <v/>
      </c>
    </row>
    <row r="44" spans="3:9" hidden="1" outlineLevel="1" x14ac:dyDescent="0.3">
      <c r="C44" s="967"/>
      <c r="D44" s="968"/>
      <c r="E44" s="965"/>
      <c r="F44" s="965"/>
      <c r="G44" s="965"/>
      <c r="H44" s="966"/>
      <c r="I44" s="15" t="str">
        <f t="shared" si="0"/>
        <v/>
      </c>
    </row>
    <row r="45" spans="3:9" hidden="1" outlineLevel="1" x14ac:dyDescent="0.3">
      <c r="C45" s="967"/>
      <c r="D45" s="968"/>
      <c r="E45" s="965"/>
      <c r="F45" s="965"/>
      <c r="G45" s="965"/>
      <c r="H45" s="966"/>
      <c r="I45" s="15" t="str">
        <f t="shared" si="0"/>
        <v/>
      </c>
    </row>
    <row r="46" spans="3:9" hidden="1" outlineLevel="1" x14ac:dyDescent="0.3">
      <c r="C46" s="967"/>
      <c r="D46" s="968"/>
      <c r="E46" s="965"/>
      <c r="F46" s="965"/>
      <c r="G46" s="965"/>
      <c r="H46" s="966"/>
      <c r="I46" s="15" t="str">
        <f t="shared" si="0"/>
        <v/>
      </c>
    </row>
    <row r="47" spans="3:9" hidden="1" outlineLevel="1" x14ac:dyDescent="0.3">
      <c r="C47" s="967"/>
      <c r="D47" s="968"/>
      <c r="E47" s="965"/>
      <c r="F47" s="965"/>
      <c r="G47" s="965"/>
      <c r="H47" s="966"/>
      <c r="I47" s="15" t="str">
        <f t="shared" si="0"/>
        <v/>
      </c>
    </row>
    <row r="48" spans="3:9" hidden="1" outlineLevel="1" x14ac:dyDescent="0.3">
      <c r="C48" s="967"/>
      <c r="D48" s="968"/>
      <c r="E48" s="965"/>
      <c r="F48" s="965"/>
      <c r="G48" s="965"/>
      <c r="H48" s="966"/>
      <c r="I48" s="15" t="str">
        <f t="shared" si="0"/>
        <v/>
      </c>
    </row>
    <row r="49" spans="3:9" hidden="1" outlineLevel="1" x14ac:dyDescent="0.3">
      <c r="C49" s="967"/>
      <c r="D49" s="968"/>
      <c r="E49" s="965"/>
      <c r="F49" s="965"/>
      <c r="G49" s="965"/>
      <c r="H49" s="966"/>
      <c r="I49" s="15" t="str">
        <f t="shared" si="0"/>
        <v/>
      </c>
    </row>
    <row r="50" spans="3:9" hidden="1" outlineLevel="1" x14ac:dyDescent="0.3">
      <c r="C50" s="967"/>
      <c r="D50" s="968"/>
      <c r="E50" s="965"/>
      <c r="F50" s="965"/>
      <c r="G50" s="965"/>
      <c r="H50" s="966"/>
      <c r="I50" s="15" t="str">
        <f t="shared" si="0"/>
        <v/>
      </c>
    </row>
    <row r="51" spans="3:9" hidden="1" outlineLevel="1" x14ac:dyDescent="0.3">
      <c r="C51" s="967"/>
      <c r="D51" s="968"/>
      <c r="E51" s="965"/>
      <c r="F51" s="965"/>
      <c r="G51" s="965"/>
      <c r="H51" s="966"/>
      <c r="I51" s="15" t="str">
        <f t="shared" si="0"/>
        <v/>
      </c>
    </row>
    <row r="52" spans="3:9" hidden="1" outlineLevel="1" x14ac:dyDescent="0.3">
      <c r="C52" s="967"/>
      <c r="D52" s="968"/>
      <c r="E52" s="965"/>
      <c r="F52" s="965"/>
      <c r="G52" s="965"/>
      <c r="H52" s="966"/>
      <c r="I52" s="15" t="str">
        <f t="shared" si="0"/>
        <v/>
      </c>
    </row>
    <row r="53" spans="3:9" hidden="1" outlineLevel="1" x14ac:dyDescent="0.3">
      <c r="C53" s="967"/>
      <c r="D53" s="968"/>
      <c r="E53" s="965"/>
      <c r="F53" s="965"/>
      <c r="G53" s="965"/>
      <c r="H53" s="966"/>
      <c r="I53" s="15" t="str">
        <f t="shared" si="0"/>
        <v/>
      </c>
    </row>
    <row r="54" spans="3:9" hidden="1" outlineLevel="1" x14ac:dyDescent="0.3">
      <c r="C54" s="967"/>
      <c r="D54" s="968"/>
      <c r="E54" s="965"/>
      <c r="F54" s="965"/>
      <c r="G54" s="965"/>
      <c r="H54" s="966"/>
      <c r="I54" s="15" t="str">
        <f t="shared" si="0"/>
        <v/>
      </c>
    </row>
    <row r="55" spans="3:9" hidden="1" outlineLevel="1" x14ac:dyDescent="0.3">
      <c r="C55" s="967"/>
      <c r="D55" s="968"/>
      <c r="E55" s="965"/>
      <c r="F55" s="965"/>
      <c r="G55" s="965"/>
      <c r="H55" s="966"/>
      <c r="I55" s="15" t="str">
        <f t="shared" si="0"/>
        <v/>
      </c>
    </row>
    <row r="56" spans="3:9" hidden="1" outlineLevel="1" x14ac:dyDescent="0.3">
      <c r="C56" s="967"/>
      <c r="D56" s="968"/>
      <c r="E56" s="965"/>
      <c r="F56" s="965"/>
      <c r="G56" s="965"/>
      <c r="H56" s="966"/>
      <c r="I56" s="15" t="str">
        <f t="shared" si="0"/>
        <v/>
      </c>
    </row>
    <row r="57" spans="3:9" hidden="1" outlineLevel="1" x14ac:dyDescent="0.3">
      <c r="C57" s="967"/>
      <c r="D57" s="968"/>
      <c r="E57" s="965"/>
      <c r="F57" s="965"/>
      <c r="G57" s="965"/>
      <c r="H57" s="966"/>
      <c r="I57" s="15" t="str">
        <f t="shared" si="0"/>
        <v/>
      </c>
    </row>
    <row r="58" spans="3:9" hidden="1" outlineLevel="1" x14ac:dyDescent="0.3">
      <c r="C58" s="967"/>
      <c r="D58" s="968"/>
      <c r="E58" s="965"/>
      <c r="F58" s="965"/>
      <c r="G58" s="965"/>
      <c r="H58" s="966"/>
      <c r="I58" s="15" t="str">
        <f t="shared" si="0"/>
        <v/>
      </c>
    </row>
    <row r="59" spans="3:9" hidden="1" outlineLevel="1" x14ac:dyDescent="0.3">
      <c r="C59" s="967"/>
      <c r="D59" s="968"/>
      <c r="E59" s="965"/>
      <c r="F59" s="965"/>
      <c r="G59" s="965"/>
      <c r="H59" s="966"/>
      <c r="I59" s="15" t="str">
        <f t="shared" si="0"/>
        <v/>
      </c>
    </row>
    <row r="60" spans="3:9" hidden="1" outlineLevel="1" x14ac:dyDescent="0.3">
      <c r="C60" s="967"/>
      <c r="D60" s="968"/>
      <c r="E60" s="965"/>
      <c r="F60" s="965"/>
      <c r="G60" s="965"/>
      <c r="H60" s="966"/>
      <c r="I60" s="15" t="str">
        <f t="shared" si="0"/>
        <v/>
      </c>
    </row>
    <row r="61" spans="3:9" hidden="1" outlineLevel="1" x14ac:dyDescent="0.3">
      <c r="C61" s="967"/>
      <c r="D61" s="968"/>
      <c r="E61" s="965"/>
      <c r="F61" s="965"/>
      <c r="G61" s="965"/>
      <c r="H61" s="966"/>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67"/>
      <c r="D62" s="968"/>
      <c r="E62" s="965"/>
      <c r="F62" s="965"/>
      <c r="G62" s="965"/>
      <c r="H62" s="966"/>
      <c r="I62" s="15" t="str">
        <f t="shared" si="1"/>
        <v/>
      </c>
    </row>
    <row r="63" spans="3:9" hidden="1" outlineLevel="1" x14ac:dyDescent="0.3">
      <c r="C63" s="967"/>
      <c r="D63" s="968"/>
      <c r="E63" s="965"/>
      <c r="F63" s="965"/>
      <c r="G63" s="965"/>
      <c r="H63" s="966"/>
      <c r="I63" s="15" t="str">
        <f t="shared" si="1"/>
        <v/>
      </c>
    </row>
    <row r="64" spans="3:9" hidden="1" outlineLevel="1" x14ac:dyDescent="0.3">
      <c r="C64" s="967"/>
      <c r="D64" s="968"/>
      <c r="E64" s="965"/>
      <c r="F64" s="965"/>
      <c r="G64" s="965"/>
      <c r="H64" s="966"/>
      <c r="I64" s="15" t="str">
        <f t="shared" si="1"/>
        <v/>
      </c>
    </row>
    <row r="65" spans="3:9" hidden="1" outlineLevel="1" x14ac:dyDescent="0.3">
      <c r="C65" s="967"/>
      <c r="D65" s="968"/>
      <c r="E65" s="965"/>
      <c r="F65" s="965"/>
      <c r="G65" s="965"/>
      <c r="H65" s="966"/>
      <c r="I65" s="15" t="str">
        <f t="shared" si="1"/>
        <v/>
      </c>
    </row>
    <row r="66" spans="3:9" hidden="1" outlineLevel="1" x14ac:dyDescent="0.3">
      <c r="C66" s="967"/>
      <c r="D66" s="968"/>
      <c r="E66" s="965"/>
      <c r="F66" s="965"/>
      <c r="G66" s="965"/>
      <c r="H66" s="966"/>
      <c r="I66" s="15" t="str">
        <f t="shared" si="1"/>
        <v/>
      </c>
    </row>
    <row r="67" spans="3:9" hidden="1" outlineLevel="1" x14ac:dyDescent="0.3">
      <c r="C67" s="967"/>
      <c r="D67" s="968"/>
      <c r="E67" s="965"/>
      <c r="F67" s="965"/>
      <c r="G67" s="965"/>
      <c r="H67" s="966"/>
      <c r="I67" s="15" t="str">
        <f t="shared" si="1"/>
        <v/>
      </c>
    </row>
    <row r="68" spans="3:9" hidden="1" outlineLevel="1" x14ac:dyDescent="0.3">
      <c r="C68" s="967"/>
      <c r="D68" s="968"/>
      <c r="E68" s="965"/>
      <c r="F68" s="965"/>
      <c r="G68" s="965"/>
      <c r="H68" s="966"/>
      <c r="I68" s="15" t="str">
        <f t="shared" si="1"/>
        <v/>
      </c>
    </row>
    <row r="69" spans="3:9" hidden="1" outlineLevel="1" x14ac:dyDescent="0.3">
      <c r="C69" s="967"/>
      <c r="D69" s="968"/>
      <c r="E69" s="965"/>
      <c r="F69" s="965"/>
      <c r="G69" s="965"/>
      <c r="H69" s="966"/>
      <c r="I69" s="15" t="str">
        <f t="shared" si="1"/>
        <v/>
      </c>
    </row>
    <row r="70" spans="3:9" hidden="1" outlineLevel="1" x14ac:dyDescent="0.3">
      <c r="C70" s="967"/>
      <c r="D70" s="968"/>
      <c r="E70" s="965"/>
      <c r="F70" s="965"/>
      <c r="G70" s="965"/>
      <c r="H70" s="966"/>
      <c r="I70" s="15" t="str">
        <f t="shared" si="1"/>
        <v/>
      </c>
    </row>
    <row r="71" spans="3:9" hidden="1" outlineLevel="1" x14ac:dyDescent="0.3">
      <c r="C71" s="967"/>
      <c r="D71" s="968"/>
      <c r="E71" s="965"/>
      <c r="F71" s="965"/>
      <c r="G71" s="965"/>
      <c r="H71" s="966"/>
      <c r="I71" s="15" t="str">
        <f t="shared" si="1"/>
        <v/>
      </c>
    </row>
    <row r="72" spans="3:9" hidden="1" outlineLevel="1" x14ac:dyDescent="0.3">
      <c r="C72" s="967"/>
      <c r="D72" s="968"/>
      <c r="E72" s="965"/>
      <c r="F72" s="965"/>
      <c r="G72" s="965"/>
      <c r="H72" s="966"/>
      <c r="I72" s="15" t="str">
        <f t="shared" si="1"/>
        <v/>
      </c>
    </row>
    <row r="73" spans="3:9" hidden="1" outlineLevel="1" x14ac:dyDescent="0.3">
      <c r="C73" s="967"/>
      <c r="D73" s="968"/>
      <c r="E73" s="965"/>
      <c r="F73" s="965"/>
      <c r="G73" s="965"/>
      <c r="H73" s="966"/>
      <c r="I73" s="15" t="str">
        <f t="shared" si="1"/>
        <v/>
      </c>
    </row>
    <row r="74" spans="3:9" hidden="1" outlineLevel="1" x14ac:dyDescent="0.3">
      <c r="C74" s="967"/>
      <c r="D74" s="968"/>
      <c r="E74" s="965"/>
      <c r="F74" s="965"/>
      <c r="G74" s="965"/>
      <c r="H74" s="966"/>
      <c r="I74" s="15" t="str">
        <f t="shared" si="1"/>
        <v/>
      </c>
    </row>
    <row r="75" spans="3:9" hidden="1" outlineLevel="1" x14ac:dyDescent="0.3">
      <c r="C75" s="967"/>
      <c r="D75" s="968"/>
      <c r="E75" s="965"/>
      <c r="F75" s="965"/>
      <c r="G75" s="965"/>
      <c r="H75" s="966"/>
      <c r="I75" s="15" t="str">
        <f t="shared" si="1"/>
        <v/>
      </c>
    </row>
    <row r="76" spans="3:9" hidden="1" outlineLevel="1" x14ac:dyDescent="0.3">
      <c r="C76" s="967"/>
      <c r="D76" s="968"/>
      <c r="E76" s="965"/>
      <c r="F76" s="965"/>
      <c r="G76" s="965"/>
      <c r="H76" s="966"/>
      <c r="I76" s="15" t="str">
        <f t="shared" si="1"/>
        <v/>
      </c>
    </row>
    <row r="77" spans="3:9" hidden="1" outlineLevel="1" x14ac:dyDescent="0.3">
      <c r="C77" s="967"/>
      <c r="D77" s="968"/>
      <c r="E77" s="965"/>
      <c r="F77" s="965"/>
      <c r="G77" s="965"/>
      <c r="H77" s="966"/>
      <c r="I77" s="15" t="str">
        <f t="shared" si="1"/>
        <v/>
      </c>
    </row>
    <row r="78" spans="3:9" hidden="1" outlineLevel="1" x14ac:dyDescent="0.3">
      <c r="C78" s="967"/>
      <c r="D78" s="968"/>
      <c r="E78" s="965"/>
      <c r="F78" s="965"/>
      <c r="G78" s="965"/>
      <c r="H78" s="966"/>
      <c r="I78" s="15" t="str">
        <f t="shared" si="1"/>
        <v/>
      </c>
    </row>
    <row r="79" spans="3:9" hidden="1" outlineLevel="1" x14ac:dyDescent="0.3">
      <c r="C79" s="967"/>
      <c r="D79" s="968"/>
      <c r="E79" s="965"/>
      <c r="F79" s="965"/>
      <c r="G79" s="965"/>
      <c r="H79" s="966"/>
      <c r="I79" s="15" t="str">
        <f t="shared" si="1"/>
        <v/>
      </c>
    </row>
    <row r="80" spans="3:9" hidden="1" outlineLevel="1" x14ac:dyDescent="0.3">
      <c r="C80" s="967"/>
      <c r="D80" s="968"/>
      <c r="E80" s="965"/>
      <c r="F80" s="965"/>
      <c r="G80" s="965"/>
      <c r="H80" s="966"/>
      <c r="I80" s="15" t="str">
        <f t="shared" si="1"/>
        <v/>
      </c>
    </row>
    <row r="81" spans="3:9" hidden="1" outlineLevel="1" x14ac:dyDescent="0.3">
      <c r="C81" s="967"/>
      <c r="D81" s="968"/>
      <c r="E81" s="965"/>
      <c r="F81" s="965"/>
      <c r="G81" s="965"/>
      <c r="H81" s="966"/>
      <c r="I81" s="15" t="str">
        <f t="shared" si="1"/>
        <v/>
      </c>
    </row>
    <row r="82" spans="3:9" hidden="1" outlineLevel="1" x14ac:dyDescent="0.3">
      <c r="C82" s="967"/>
      <c r="D82" s="968"/>
      <c r="E82" s="965"/>
      <c r="F82" s="965"/>
      <c r="G82" s="965"/>
      <c r="H82" s="966"/>
      <c r="I82" s="15" t="str">
        <f t="shared" si="1"/>
        <v/>
      </c>
    </row>
    <row r="83" spans="3:9" hidden="1" outlineLevel="1" x14ac:dyDescent="0.3">
      <c r="C83" s="967"/>
      <c r="D83" s="968"/>
      <c r="E83" s="965"/>
      <c r="F83" s="965"/>
      <c r="G83" s="965"/>
      <c r="H83" s="966"/>
      <c r="I83" s="15" t="str">
        <f t="shared" si="1"/>
        <v/>
      </c>
    </row>
    <row r="84" spans="3:9" hidden="1" outlineLevel="1" x14ac:dyDescent="0.3">
      <c r="C84" s="967"/>
      <c r="D84" s="968"/>
      <c r="E84" s="965"/>
      <c r="F84" s="965"/>
      <c r="G84" s="965"/>
      <c r="H84" s="966"/>
      <c r="I84" s="15" t="str">
        <f t="shared" si="1"/>
        <v/>
      </c>
    </row>
    <row r="85" spans="3:9" hidden="1" outlineLevel="1" x14ac:dyDescent="0.3">
      <c r="C85" s="967"/>
      <c r="D85" s="968"/>
      <c r="E85" s="965"/>
      <c r="F85" s="965"/>
      <c r="G85" s="965"/>
      <c r="H85" s="966"/>
      <c r="I85" s="15" t="str">
        <f t="shared" si="1"/>
        <v/>
      </c>
    </row>
    <row r="86" spans="3:9" hidden="1" outlineLevel="1" x14ac:dyDescent="0.3">
      <c r="C86" s="967"/>
      <c r="D86" s="968"/>
      <c r="E86" s="965"/>
      <c r="F86" s="965"/>
      <c r="G86" s="965"/>
      <c r="H86" s="966"/>
      <c r="I86" s="15" t="str">
        <f t="shared" si="1"/>
        <v/>
      </c>
    </row>
    <row r="87" spans="3:9" hidden="1" outlineLevel="1" x14ac:dyDescent="0.3">
      <c r="C87" s="967"/>
      <c r="D87" s="968"/>
      <c r="E87" s="965"/>
      <c r="F87" s="965"/>
      <c r="G87" s="965"/>
      <c r="H87" s="966"/>
      <c r="I87" s="15" t="str">
        <f t="shared" si="1"/>
        <v/>
      </c>
    </row>
    <row r="88" spans="3:9" hidden="1" outlineLevel="1" x14ac:dyDescent="0.3">
      <c r="C88" s="967"/>
      <c r="D88" s="968"/>
      <c r="E88" s="965"/>
      <c r="F88" s="965"/>
      <c r="G88" s="965"/>
      <c r="H88" s="966"/>
      <c r="I88" s="15" t="str">
        <f t="shared" si="1"/>
        <v/>
      </c>
    </row>
    <row r="89" spans="3:9" hidden="1" outlineLevel="1" x14ac:dyDescent="0.3">
      <c r="C89" s="967"/>
      <c r="D89" s="968"/>
      <c r="E89" s="965"/>
      <c r="F89" s="965"/>
      <c r="G89" s="965"/>
      <c r="H89" s="966"/>
      <c r="I89" s="15" t="str">
        <f t="shared" si="1"/>
        <v/>
      </c>
    </row>
    <row r="90" spans="3:9" hidden="1" outlineLevel="1" x14ac:dyDescent="0.3">
      <c r="C90" s="967"/>
      <c r="D90" s="968"/>
      <c r="E90" s="965"/>
      <c r="F90" s="965"/>
      <c r="G90" s="965"/>
      <c r="H90" s="966"/>
      <c r="I90" s="15" t="str">
        <f t="shared" si="1"/>
        <v/>
      </c>
    </row>
    <row r="91" spans="3:9" hidden="1" outlineLevel="1" x14ac:dyDescent="0.3">
      <c r="C91" s="967"/>
      <c r="D91" s="968"/>
      <c r="E91" s="965"/>
      <c r="F91" s="965"/>
      <c r="G91" s="965"/>
      <c r="H91" s="966"/>
      <c r="I91" s="15" t="str">
        <f t="shared" si="1"/>
        <v/>
      </c>
    </row>
    <row r="92" spans="3:9" hidden="1" outlineLevel="1" x14ac:dyDescent="0.3">
      <c r="C92" s="967"/>
      <c r="D92" s="968"/>
      <c r="E92" s="965"/>
      <c r="F92" s="965"/>
      <c r="G92" s="965"/>
      <c r="H92" s="966"/>
      <c r="I92" s="15" t="str">
        <f t="shared" si="1"/>
        <v/>
      </c>
    </row>
    <row r="93" spans="3:9" hidden="1" outlineLevel="1" x14ac:dyDescent="0.3">
      <c r="C93" s="967"/>
      <c r="D93" s="968"/>
      <c r="E93" s="965"/>
      <c r="F93" s="965"/>
      <c r="G93" s="965"/>
      <c r="H93" s="966"/>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67"/>
      <c r="D94" s="968"/>
      <c r="E94" s="965"/>
      <c r="F94" s="965"/>
      <c r="G94" s="965"/>
      <c r="H94" s="966"/>
      <c r="I94" s="15" t="str">
        <f t="shared" si="2"/>
        <v/>
      </c>
    </row>
    <row r="95" spans="3:9" hidden="1" outlineLevel="1" x14ac:dyDescent="0.3">
      <c r="C95" s="967"/>
      <c r="D95" s="968"/>
      <c r="E95" s="965"/>
      <c r="F95" s="965"/>
      <c r="G95" s="965"/>
      <c r="H95" s="966"/>
      <c r="I95" s="15" t="str">
        <f t="shared" si="2"/>
        <v/>
      </c>
    </row>
    <row r="96" spans="3:9" hidden="1" outlineLevel="1" x14ac:dyDescent="0.3">
      <c r="C96" s="967"/>
      <c r="D96" s="968"/>
      <c r="E96" s="965"/>
      <c r="F96" s="965"/>
      <c r="G96" s="965"/>
      <c r="H96" s="966"/>
      <c r="I96" s="15" t="str">
        <f t="shared" si="2"/>
        <v/>
      </c>
    </row>
    <row r="97" spans="3:9" hidden="1" outlineLevel="1" x14ac:dyDescent="0.3">
      <c r="C97" s="967"/>
      <c r="D97" s="968"/>
      <c r="E97" s="965"/>
      <c r="F97" s="965"/>
      <c r="G97" s="965"/>
      <c r="H97" s="966"/>
      <c r="I97" s="15" t="str">
        <f t="shared" si="2"/>
        <v/>
      </c>
    </row>
    <row r="98" spans="3:9" hidden="1" outlineLevel="1" x14ac:dyDescent="0.3">
      <c r="C98" s="967"/>
      <c r="D98" s="968"/>
      <c r="E98" s="965"/>
      <c r="F98" s="965"/>
      <c r="G98" s="965"/>
      <c r="H98" s="966"/>
      <c r="I98" s="15" t="str">
        <f t="shared" si="2"/>
        <v/>
      </c>
    </row>
    <row r="99" spans="3:9" hidden="1" outlineLevel="1" x14ac:dyDescent="0.3">
      <c r="C99" s="967"/>
      <c r="D99" s="968"/>
      <c r="E99" s="965"/>
      <c r="F99" s="965"/>
      <c r="G99" s="965"/>
      <c r="H99" s="966"/>
      <c r="I99" s="15" t="str">
        <f t="shared" si="2"/>
        <v/>
      </c>
    </row>
    <row r="100" spans="3:9" hidden="1" outlineLevel="1" x14ac:dyDescent="0.3">
      <c r="C100" s="967"/>
      <c r="D100" s="968"/>
      <c r="E100" s="965"/>
      <c r="F100" s="965"/>
      <c r="G100" s="965"/>
      <c r="H100" s="966"/>
      <c r="I100" s="15" t="str">
        <f t="shared" si="2"/>
        <v/>
      </c>
    </row>
    <row r="101" spans="3:9" hidden="1" outlineLevel="1" x14ac:dyDescent="0.3">
      <c r="C101" s="967"/>
      <c r="D101" s="968"/>
      <c r="E101" s="965"/>
      <c r="F101" s="965"/>
      <c r="G101" s="965"/>
      <c r="H101" s="966"/>
      <c r="I101" s="15" t="str">
        <f t="shared" si="2"/>
        <v/>
      </c>
    </row>
    <row r="102" spans="3:9" hidden="1" outlineLevel="1" x14ac:dyDescent="0.3">
      <c r="C102" s="967"/>
      <c r="D102" s="968"/>
      <c r="E102" s="965"/>
      <c r="F102" s="965"/>
      <c r="G102" s="965"/>
      <c r="H102" s="966"/>
      <c r="I102" s="15" t="str">
        <f t="shared" si="2"/>
        <v/>
      </c>
    </row>
    <row r="103" spans="3:9" hidden="1" outlineLevel="1" x14ac:dyDescent="0.3">
      <c r="C103" s="967"/>
      <c r="D103" s="968"/>
      <c r="E103" s="965"/>
      <c r="F103" s="965"/>
      <c r="G103" s="965"/>
      <c r="H103" s="966"/>
      <c r="I103" s="15" t="str">
        <f t="shared" si="2"/>
        <v/>
      </c>
    </row>
    <row r="104" spans="3:9" hidden="1" outlineLevel="1" x14ac:dyDescent="0.3">
      <c r="C104" s="967"/>
      <c r="D104" s="968"/>
      <c r="E104" s="965"/>
      <c r="F104" s="965"/>
      <c r="G104" s="965"/>
      <c r="H104" s="966"/>
      <c r="I104" s="15" t="str">
        <f t="shared" si="2"/>
        <v/>
      </c>
    </row>
    <row r="105" spans="3:9" hidden="1" outlineLevel="1" x14ac:dyDescent="0.3">
      <c r="C105" s="967"/>
      <c r="D105" s="968"/>
      <c r="E105" s="965"/>
      <c r="F105" s="965"/>
      <c r="G105" s="965"/>
      <c r="H105" s="966"/>
      <c r="I105" s="15" t="str">
        <f t="shared" si="2"/>
        <v/>
      </c>
    </row>
    <row r="106" spans="3:9" hidden="1" outlineLevel="1" x14ac:dyDescent="0.3">
      <c r="C106" s="967"/>
      <c r="D106" s="968"/>
      <c r="E106" s="965"/>
      <c r="F106" s="965"/>
      <c r="G106" s="965"/>
      <c r="H106" s="966"/>
      <c r="I106" s="15" t="str">
        <f t="shared" si="2"/>
        <v/>
      </c>
    </row>
    <row r="107" spans="3:9" hidden="1" outlineLevel="1" x14ac:dyDescent="0.3">
      <c r="C107" s="967"/>
      <c r="D107" s="968"/>
      <c r="E107" s="965"/>
      <c r="F107" s="965"/>
      <c r="G107" s="965"/>
      <c r="H107" s="966"/>
      <c r="I107" s="15" t="str">
        <f t="shared" si="2"/>
        <v/>
      </c>
    </row>
    <row r="108" spans="3:9" hidden="1" outlineLevel="1" x14ac:dyDescent="0.3">
      <c r="C108" s="967"/>
      <c r="D108" s="968"/>
      <c r="E108" s="965"/>
      <c r="F108" s="965"/>
      <c r="G108" s="965"/>
      <c r="H108" s="966"/>
      <c r="I108" s="15" t="str">
        <f t="shared" si="2"/>
        <v/>
      </c>
    </row>
    <row r="109" spans="3:9" hidden="1" outlineLevel="1" x14ac:dyDescent="0.3">
      <c r="C109" s="967"/>
      <c r="D109" s="968"/>
      <c r="E109" s="965"/>
      <c r="F109" s="965"/>
      <c r="G109" s="965"/>
      <c r="H109" s="966"/>
      <c r="I109" s="15" t="str">
        <f t="shared" si="2"/>
        <v/>
      </c>
    </row>
    <row r="110" spans="3:9" hidden="1" outlineLevel="1" x14ac:dyDescent="0.3">
      <c r="C110" s="967"/>
      <c r="D110" s="968"/>
      <c r="E110" s="965"/>
      <c r="F110" s="965"/>
      <c r="G110" s="965"/>
      <c r="H110" s="966"/>
      <c r="I110" s="15" t="str">
        <f t="shared" si="2"/>
        <v/>
      </c>
    </row>
    <row r="111" spans="3:9" hidden="1" outlineLevel="1" x14ac:dyDescent="0.3">
      <c r="C111" s="967"/>
      <c r="D111" s="968"/>
      <c r="E111" s="965"/>
      <c r="F111" s="965"/>
      <c r="G111" s="965"/>
      <c r="H111" s="966"/>
      <c r="I111" s="15" t="str">
        <f t="shared" si="2"/>
        <v/>
      </c>
    </row>
    <row r="112" spans="3:9" hidden="1" outlineLevel="1" x14ac:dyDescent="0.3">
      <c r="C112" s="967"/>
      <c r="D112" s="968"/>
      <c r="E112" s="965"/>
      <c r="F112" s="965"/>
      <c r="G112" s="965"/>
      <c r="H112" s="966"/>
      <c r="I112" s="15" t="str">
        <f t="shared" si="2"/>
        <v/>
      </c>
    </row>
    <row r="113" spans="3:9" hidden="1" outlineLevel="1" x14ac:dyDescent="0.3">
      <c r="C113" s="967"/>
      <c r="D113" s="968"/>
      <c r="E113" s="965"/>
      <c r="F113" s="965"/>
      <c r="G113" s="965"/>
      <c r="H113" s="966"/>
      <c r="I113" s="15" t="str">
        <f t="shared" si="2"/>
        <v/>
      </c>
    </row>
    <row r="114" spans="3:9" hidden="1" outlineLevel="1" x14ac:dyDescent="0.3">
      <c r="C114" s="967"/>
      <c r="D114" s="968"/>
      <c r="E114" s="965"/>
      <c r="F114" s="965"/>
      <c r="G114" s="965"/>
      <c r="H114" s="966"/>
      <c r="I114" s="15" t="str">
        <f t="shared" si="2"/>
        <v/>
      </c>
    </row>
    <row r="115" spans="3:9" hidden="1" outlineLevel="1" x14ac:dyDescent="0.3">
      <c r="C115" s="967"/>
      <c r="D115" s="968"/>
      <c r="E115" s="965"/>
      <c r="F115" s="965"/>
      <c r="G115" s="965"/>
      <c r="H115" s="966"/>
      <c r="I115" s="15" t="str">
        <f t="shared" si="2"/>
        <v/>
      </c>
    </row>
    <row r="116" spans="3:9" hidden="1" outlineLevel="1" x14ac:dyDescent="0.3">
      <c r="C116" s="967"/>
      <c r="D116" s="968"/>
      <c r="E116" s="965"/>
      <c r="F116" s="965"/>
      <c r="G116" s="965"/>
      <c r="H116" s="966"/>
      <c r="I116" s="15" t="str">
        <f t="shared" si="2"/>
        <v/>
      </c>
    </row>
    <row r="117" spans="3:9" hidden="1" outlineLevel="1" x14ac:dyDescent="0.3">
      <c r="C117" s="967"/>
      <c r="D117" s="968"/>
      <c r="E117" s="965"/>
      <c r="F117" s="965"/>
      <c r="G117" s="965"/>
      <c r="H117" s="966"/>
      <c r="I117" s="15" t="str">
        <f t="shared" si="2"/>
        <v/>
      </c>
    </row>
    <row r="118" spans="3:9" hidden="1" outlineLevel="1" x14ac:dyDescent="0.3">
      <c r="C118" s="967"/>
      <c r="D118" s="968"/>
      <c r="E118" s="965"/>
      <c r="F118" s="965"/>
      <c r="G118" s="965"/>
      <c r="H118" s="966"/>
      <c r="I118" s="15" t="str">
        <f t="shared" si="2"/>
        <v/>
      </c>
    </row>
    <row r="119" spans="3:9" hidden="1" outlineLevel="1" x14ac:dyDescent="0.3">
      <c r="C119" s="967"/>
      <c r="D119" s="968"/>
      <c r="E119" s="965"/>
      <c r="F119" s="965"/>
      <c r="G119" s="965"/>
      <c r="H119" s="966"/>
      <c r="I119" s="15" t="str">
        <f t="shared" si="2"/>
        <v/>
      </c>
    </row>
    <row r="120" spans="3:9" hidden="1" outlineLevel="1" x14ac:dyDescent="0.3">
      <c r="C120" s="967"/>
      <c r="D120" s="968"/>
      <c r="E120" s="965"/>
      <c r="F120" s="965"/>
      <c r="G120" s="965"/>
      <c r="H120" s="966"/>
      <c r="I120" s="15" t="str">
        <f t="shared" si="2"/>
        <v/>
      </c>
    </row>
    <row r="121" spans="3:9" hidden="1" outlineLevel="1" x14ac:dyDescent="0.3">
      <c r="C121" s="967"/>
      <c r="D121" s="968"/>
      <c r="E121" s="965"/>
      <c r="F121" s="965"/>
      <c r="G121" s="965"/>
      <c r="H121" s="966"/>
      <c r="I121" s="15" t="str">
        <f t="shared" si="2"/>
        <v/>
      </c>
    </row>
    <row r="122" spans="3:9" hidden="1" outlineLevel="1" x14ac:dyDescent="0.3">
      <c r="C122" s="967"/>
      <c r="D122" s="968"/>
      <c r="E122" s="965"/>
      <c r="F122" s="965"/>
      <c r="G122" s="965"/>
      <c r="H122" s="966"/>
      <c r="I122" s="15" t="str">
        <f t="shared" si="2"/>
        <v/>
      </c>
    </row>
    <row r="123" spans="3:9" hidden="1" outlineLevel="1" x14ac:dyDescent="0.3">
      <c r="C123" s="967"/>
      <c r="D123" s="968"/>
      <c r="E123" s="965"/>
      <c r="F123" s="965"/>
      <c r="G123" s="965"/>
      <c r="H123" s="966"/>
      <c r="I123" s="15" t="str">
        <f t="shared" si="2"/>
        <v/>
      </c>
    </row>
    <row r="124" spans="3:9" hidden="1" outlineLevel="1" x14ac:dyDescent="0.3">
      <c r="C124" s="967"/>
      <c r="D124" s="968"/>
      <c r="E124" s="965"/>
      <c r="F124" s="965"/>
      <c r="G124" s="965"/>
      <c r="H124" s="966"/>
      <c r="I124" s="15" t="str">
        <f t="shared" si="2"/>
        <v/>
      </c>
    </row>
    <row r="125" spans="3:9" hidden="1" outlineLevel="1" x14ac:dyDescent="0.3">
      <c r="C125" s="967"/>
      <c r="D125" s="968"/>
      <c r="E125" s="965"/>
      <c r="F125" s="965"/>
      <c r="G125" s="965"/>
      <c r="H125" s="966"/>
      <c r="I125" s="15" t="str">
        <f t="shared" si="2"/>
        <v/>
      </c>
    </row>
    <row r="126" spans="3:9" hidden="1" outlineLevel="1" x14ac:dyDescent="0.3">
      <c r="C126" s="967"/>
      <c r="D126" s="968"/>
      <c r="E126" s="965"/>
      <c r="F126" s="965"/>
      <c r="G126" s="965"/>
      <c r="H126" s="966"/>
      <c r="I126" s="15" t="str">
        <f t="shared" si="2"/>
        <v/>
      </c>
    </row>
    <row r="127" spans="3:9" hidden="1" outlineLevel="1" x14ac:dyDescent="0.3">
      <c r="C127" s="967"/>
      <c r="D127" s="968"/>
      <c r="E127" s="965"/>
      <c r="F127" s="965"/>
      <c r="G127" s="965"/>
      <c r="H127" s="966"/>
      <c r="I127" s="15" t="str">
        <f t="shared" si="2"/>
        <v/>
      </c>
    </row>
    <row r="128" spans="3:9" hidden="1" outlineLevel="1" x14ac:dyDescent="0.3">
      <c r="C128" s="967"/>
      <c r="D128" s="968"/>
      <c r="E128" s="965"/>
      <c r="F128" s="965"/>
      <c r="G128" s="965"/>
      <c r="H128" s="966"/>
      <c r="I128" s="15" t="str">
        <f t="shared" si="2"/>
        <v/>
      </c>
    </row>
    <row r="129" spans="1:10" ht="15" collapsed="1" thickBot="1" x14ac:dyDescent="0.35">
      <c r="C129" s="1012" t="str">
        <f>template_label_total_employees</f>
        <v>Totale dipendenti (collegato a B1)</v>
      </c>
      <c r="D129" s="1013"/>
      <c r="E129" s="1014">
        <f>IF('General Information'!$E$328="","-",'General Information'!$E$328)</f>
        <v>151</v>
      </c>
      <c r="F129" s="1014"/>
      <c r="G129" s="1014"/>
      <c r="H129" s="998"/>
      <c r="I129" s="15"/>
    </row>
    <row r="130" spans="1:10" ht="15" thickBot="1" x14ac:dyDescent="0.35"/>
    <row r="131" spans="1:10" x14ac:dyDescent="0.3">
      <c r="C131" s="999" t="str">
        <f>template_label_b8_workforce_general_characteristics_turnover_rate&amp;" "&amp;template_label_from&amp;" "&amp;template_starting_date_display&amp;" "&amp;template_label_to&amp;" "&amp;template_ending_date_display&amp;" "&amp;template_label_if_applicable</f>
        <v>B8 – Forza lavoro – Caratteristiche generali - Tasso di avvicendamento da 2024-01-01 a 2024-12-31 [Se applicabile]</v>
      </c>
      <c r="D131" s="1000"/>
      <c r="E131" s="1000"/>
      <c r="F131" s="1000"/>
      <c r="G131" s="1000"/>
      <c r="H131" s="1001"/>
    </row>
    <row r="132" spans="1:10" x14ac:dyDescent="0.3">
      <c r="C132" s="585">
        <v>40</v>
      </c>
      <c r="D132" s="586"/>
      <c r="E132" s="586"/>
      <c r="F132" s="586"/>
      <c r="G132" s="586"/>
      <c r="H132" s="587"/>
    </row>
    <row r="133" spans="1:10" x14ac:dyDescent="0.3">
      <c r="C133" s="736">
        <v>118</v>
      </c>
      <c r="D133" s="949"/>
      <c r="E133" s="949"/>
      <c r="F133" s="949"/>
      <c r="G133" s="949"/>
      <c r="H133" s="798"/>
    </row>
    <row r="134" spans="1:10" ht="43.2" x14ac:dyDescent="0.3">
      <c r="C134" s="154" t="str">
        <f>template_label_number_of_employees_who_left_during_the_reporting_period</f>
        <v xml:space="preserve">Numero di dipendenti che hanno lasciato l'impresa durante l'anno di riferimento
</v>
      </c>
      <c r="D134" s="1008">
        <v>50</v>
      </c>
      <c r="E134" s="1008"/>
      <c r="F134" s="1008"/>
      <c r="G134" s="1008"/>
      <c r="H134" s="1009"/>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Numero di dipendenti all'inizio dell'anno di riferimento</v>
      </c>
      <c r="D135" s="1008">
        <v>201</v>
      </c>
      <c r="E135" s="1008"/>
      <c r="F135" s="1008"/>
      <c r="G135" s="1008"/>
      <c r="H135" s="1009"/>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Numero di dipendenti alla fine dell'anno di riferimento</v>
      </c>
      <c r="D136" s="1008">
        <v>151</v>
      </c>
      <c r="E136" s="1008"/>
      <c r="F136" s="1008"/>
      <c r="G136" s="1008"/>
      <c r="H136" s="1009"/>
      <c r="I136" s="15" t="str">
        <f>IF(
    AND('General Information'!$E$328&lt;50, D136=""),
    "",
    IF(
        AND('General Information'!$E$328&lt;50, D136&lt;&gt;""),
        template_label_ok,
        IF(
            AND('General Information'!$E$328&gt;=50, D136&lt;&gt;""),
            template_label_ok,
            template_label_missing_value
        )
    )
)</f>
        <v>OK</v>
      </c>
    </row>
    <row r="137" spans="1:10" ht="43.8" thickBot="1" x14ac:dyDescent="0.35">
      <c r="C137" s="100" t="str">
        <f>template_label_employee_turnover_rate_in_the_reporting_period</f>
        <v xml:space="preserve">Tasso di avvicendamento dei dipendenti [%] nell'anno di riferimento
</v>
      </c>
      <c r="D137" s="1010">
        <f>IF(AND(D134&lt;&gt;"",D135&lt;&gt;"",D136&lt;&gt;""),(D134/((D135+D136)/2)),"-")</f>
        <v>0.28409090909090912</v>
      </c>
      <c r="E137" s="1010"/>
      <c r="F137" s="1010"/>
      <c r="G137" s="1010"/>
      <c r="H137" s="1011"/>
    </row>
    <row r="138" spans="1:10" ht="15" thickBot="1" x14ac:dyDescent="0.35"/>
    <row r="139" spans="1:10" ht="15" thickBot="1" x14ac:dyDescent="0.35">
      <c r="C139" s="579" t="str">
        <f>template_label_b9_workforce_health_and_safety&amp;" "&amp;template_label_from&amp;" "&amp;template_starting_date_display&amp;" "&amp;template_label_to&amp;" "&amp;template_ending_date_display&amp;" "&amp;template_label_always_to_be_reported</f>
        <v>B9 – Forza lavoro – Salute e sicurezza da 2024-01-01 a 2024-12-31 [Sempre da riportare]</v>
      </c>
      <c r="D139" s="580"/>
      <c r="E139" s="580"/>
      <c r="F139" s="580"/>
      <c r="G139" s="580"/>
      <c r="H139" s="581"/>
    </row>
    <row r="140" spans="1:10" x14ac:dyDescent="0.3">
      <c r="A140" s="441" t="s">
        <v>3757</v>
      </c>
      <c r="B140" s="444" t="s">
        <v>5656</v>
      </c>
      <c r="C140" s="259" t="str">
        <f>template_label_number_of_recordable_work_related_accidents_in_the_reporting_period</f>
        <v>Numero di infortuni registrabili connessi al lavoro nel periodo di riferimento</v>
      </c>
      <c r="D140" s="1031">
        <v>0</v>
      </c>
      <c r="E140" s="1031"/>
      <c r="F140" s="1031"/>
      <c r="G140" s="1031"/>
      <c r="H140" s="1032"/>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41" t="s">
        <v>3757</v>
      </c>
      <c r="B141" s="444" t="s">
        <v>5656</v>
      </c>
      <c r="C141" s="155" t="str">
        <f>template_label_number_of_hours_worked_by_one_fulltime_employee_in_the_reporting_period</f>
        <v>Ore lavorate da un dipendente a tempo pieno nel periodo di riferimento</v>
      </c>
      <c r="D141" s="1033">
        <v>2000</v>
      </c>
      <c r="E141" s="1034"/>
      <c r="F141" s="1034"/>
      <c r="G141" s="1034"/>
      <c r="H141" s="1035"/>
      <c r="I141" s="15" t="str">
        <f>IF(D141="", "MISSING VALUE", IF(D141&lt;&gt;2000, "OK", ""))</f>
        <v/>
      </c>
      <c r="J141" s="10" t="str">
        <f>template_label_health_and_safety_formula_warning</f>
        <v>ℹ️ L'impresa può modificare il valore in questa cella poiché le 2.000 ore si basano sull'assunzione che un lavoratore a tempo pieno lavori 2.000 ore all'anno. Questo valore può variare a seconda del paese o del settore, in base a regole nazionali o accordi collettivi di lavoro.</v>
      </c>
    </row>
    <row r="142" spans="1:10" x14ac:dyDescent="0.3">
      <c r="A142" s="441" t="s">
        <v>3757</v>
      </c>
      <c r="B142" s="444" t="s">
        <v>5656</v>
      </c>
      <c r="C142" s="155" t="str">
        <f>template_label_total_number_of_hours_worked_in_a_year_by_all_employees_in_the_reporting_period</f>
        <v>Numero totale di ore lavorate in un anno da tutti i dipendenti nel periodo di riferimento</v>
      </c>
      <c r="D142" s="1036">
        <f>IF('General Information'!E328="","-",D141*'General Information'!E328)</f>
        <v>302000</v>
      </c>
      <c r="E142" s="1037"/>
      <c r="F142" s="1037"/>
      <c r="G142" s="1037"/>
      <c r="H142" s="1038"/>
      <c r="I142" s="15"/>
    </row>
    <row r="143" spans="1:10" ht="15" thickBot="1" x14ac:dyDescent="0.35">
      <c r="A143" s="441" t="s">
        <v>3757</v>
      </c>
      <c r="B143" s="444" t="s">
        <v>5656</v>
      </c>
      <c r="C143" s="214" t="str">
        <f>template_label_rate_of_recordable_work_related_accidents_in_the_reporting_period</f>
        <v>Tasso di infortuni registrabili connessi al lavoro nel periodo di riferimento</v>
      </c>
      <c r="D143" s="1039">
        <f>IFERROR(IF(AND(D140&lt;&gt;"", D142&lt;&gt;""), ($D$140/$D$142)*200000, "-"), "-")</f>
        <v>0</v>
      </c>
      <c r="E143" s="1040"/>
      <c r="F143" s="1040"/>
      <c r="G143" s="1040"/>
      <c r="H143" s="1041"/>
    </row>
    <row r="144" spans="1:10" ht="15" thickBot="1" x14ac:dyDescent="0.35">
      <c r="A144" s="441" t="s">
        <v>3758</v>
      </c>
      <c r="B144" s="444" t="s">
        <v>5656</v>
      </c>
      <c r="C144" s="213" t="str">
        <f>template_label_number_of_fatalities_as_a_result_of_work_related_injuries_and_work_related_ill_health</f>
        <v>Numero di decessi dovuti a lesioni e malattie connesse al lavoro</v>
      </c>
      <c r="D144" s="1015">
        <v>0</v>
      </c>
      <c r="E144" s="1015"/>
      <c r="F144" s="1015"/>
      <c r="G144" s="1015"/>
      <c r="H144" s="1016"/>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17" t="str">
        <f>template_label_b10_workforce_remuneration_collective_bargaining_and_training&amp;" "&amp;template_label_from&amp;" "&amp;template_starting_date_display&amp;" "&amp;template_label_to&amp;" "&amp;template_ending_date_display&amp;" "&amp;template_label_always_to_be_reported_if_applicable</f>
        <v>B10 – Forza lavoro – Retribuzione, contrattazione collettiva e formazione da 2024-01-01 a 2024-12-31 [Sempre da riportare + se applicabile]</v>
      </c>
      <c r="D146" s="1018"/>
      <c r="E146" s="1018"/>
      <c r="F146" s="1018"/>
      <c r="G146" s="1018"/>
      <c r="H146" s="1019"/>
    </row>
    <row r="147" spans="1:9" ht="43.8" thickBot="1" x14ac:dyDescent="0.35">
      <c r="A147" s="441" t="s">
        <v>3759</v>
      </c>
      <c r="B147" s="441" t="s">
        <v>5657</v>
      </c>
      <c r="C147" s="211" t="str">
        <f>template_label_employees_receive_pay_that_is_equal_or_above_applicable_minimum_wage</f>
        <v>I dipendenti percepiscono una retribuzione pari o superiore al salario minimo applicabile, determinato direttamente dal diritto nazionale in matria di salario minimo o mediante contrattazione collettiva.</v>
      </c>
      <c r="D147" s="1020" t="s">
        <v>2906</v>
      </c>
      <c r="E147" s="1020"/>
      <c r="F147" s="1020"/>
      <c r="G147" s="1020"/>
      <c r="H147" s="1021"/>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51" t="s">
        <v>3760</v>
      </c>
      <c r="B148" s="453" t="s">
        <v>5658</v>
      </c>
      <c r="C148" s="212" t="str">
        <f>template_label_average_gross_hourly_pay_level_of_male_employees &amp; " " &amp; "(" &amp; template_label_amount_in &amp; " " &amp; template_currency &amp; ")"</f>
        <v>Livello di retribuzione oraria lorda media dei dipendenti di sesso maschile (importo in EUR)</v>
      </c>
      <c r="D148" s="1022">
        <v>20</v>
      </c>
      <c r="E148" s="1023"/>
      <c r="F148" s="1023"/>
      <c r="G148" s="1023"/>
      <c r="H148" s="1024"/>
      <c r="I148" s="15" t="str">
        <f>IF(
    AND('General Information'!$E$328&lt;150, D148=""),
    "",
    IF(
        AND('General Information'!$E$328&lt;150, D148&lt;&gt;""),
        template_label_ok,
        IF(
            AND('General Information'!$E$328&gt;=150, D148&lt;&gt;""),
            template_label_ok,
            template_label_missing_value
        )
    )
)</f>
        <v>OK</v>
      </c>
    </row>
    <row r="149" spans="1:9" ht="28.8" x14ac:dyDescent="0.3">
      <c r="A149" s="451" t="s">
        <v>3760</v>
      </c>
      <c r="B149" s="453" t="s">
        <v>5658</v>
      </c>
      <c r="C149" s="156" t="str">
        <f>template_label_average_gross_hourly_pay_level_of_female_employees &amp; " " &amp; "(" &amp; template_label_amount_in &amp; " " &amp; template_currency &amp; ")"</f>
        <v>Livello di retribuzione oraria lorda media dei dipendenti di sesso femminile (importo in EUR)</v>
      </c>
      <c r="D149" s="1025">
        <v>18</v>
      </c>
      <c r="E149" s="1026"/>
      <c r="F149" s="1026"/>
      <c r="G149" s="1026"/>
      <c r="H149" s="1027"/>
      <c r="I149" s="15" t="str">
        <f>IF(
    AND('General Information'!$E$328&lt;150, D149=""),
    "",
    IF(
        AND('General Information'!$E$328&lt;150, D149&lt;&gt;""),
        template_label_ok,
        IF(
            AND('General Information'!$E$328&gt;=150, D149&lt;&gt;""),
            template_label_ok,
            template_label_missing_value
        )
    )
)</f>
        <v>OK</v>
      </c>
    </row>
    <row r="150" spans="1:9" ht="29.4" thickBot="1" x14ac:dyDescent="0.35">
      <c r="A150" s="451" t="s">
        <v>3760</v>
      </c>
      <c r="B150" s="453" t="s">
        <v>5658</v>
      </c>
      <c r="C150" s="157" t="str">
        <f>template_label_percentage_gap_in_pay_between_the__undertakings_female_and_male_employees</f>
        <v>Percentuale del divario retributivo tra dipendenti di sesso femminile e dipendenti di sesso maschile [%]</v>
      </c>
      <c r="D150" s="1028">
        <f>IF(AND(D148&lt;&gt;"",D149&lt;&gt;""),((D148-D149)/D148),"-")</f>
        <v>0.1</v>
      </c>
      <c r="E150" s="1029"/>
      <c r="F150" s="1029"/>
      <c r="G150" s="1029"/>
      <c r="H150" s="1030"/>
    </row>
    <row r="151" spans="1:9" x14ac:dyDescent="0.3">
      <c r="A151" s="924" t="s">
        <v>3761</v>
      </c>
      <c r="B151" s="989" t="s">
        <v>5659</v>
      </c>
      <c r="C151" s="210" t="str">
        <f>template_label_number_of_employees_covered_by_collective_bargaining_agreements</f>
        <v>Numero di dipendenti coperti da contratti collettivi</v>
      </c>
      <c r="D151" s="1048">
        <v>140</v>
      </c>
      <c r="E151" s="1049"/>
      <c r="F151" s="1049"/>
      <c r="G151" s="1049"/>
      <c r="H151" s="1050"/>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47"/>
      <c r="B152" s="583"/>
      <c r="C152" s="157" t="str">
        <f>template_label_percentage_of_employees_covered_by_collective_bargaining_agreements</f>
        <v>Percentuale di dipendenti coperti da contratti collettivi [%]</v>
      </c>
      <c r="D152" s="1051">
        <f>IF(D151&lt;&gt;"", IF('General Information'!E328=0, "-", D151/'General Information'!E328), "-")</f>
        <v>0.92715231788079466</v>
      </c>
      <c r="E152" s="1052"/>
      <c r="F152" s="1052"/>
      <c r="G152" s="1052"/>
      <c r="H152" s="1053"/>
    </row>
    <row r="153" spans="1:9" ht="15" thickBot="1" x14ac:dyDescent="0.35"/>
    <row r="154" spans="1:9" x14ac:dyDescent="0.3">
      <c r="C154" s="1017" t="str">
        <f>template_label_number_of_annual_training_hours_per_employee_during_the_reporting_period&amp;" "&amp;template_label_from&amp;" "&amp;template_starting_date_display&amp;" "&amp;template_label_to&amp;" "&amp;template_ending_date_display&amp;" "&amp;template_label_always_to_be_reported</f>
        <v>B10 – Numero annuo di ore di formazione per dipendente durante il periodo di riferimento da 2024-01-01 a 2024-12-31 [Sempre da riportare]</v>
      </c>
      <c r="D154" s="1018"/>
      <c r="E154" s="1018"/>
      <c r="F154" s="1018"/>
      <c r="G154" s="1018"/>
      <c r="H154" s="1019"/>
    </row>
    <row r="155" spans="1:9" x14ac:dyDescent="0.3">
      <c r="C155" s="585" t="s">
        <v>3762</v>
      </c>
      <c r="D155" s="586"/>
      <c r="E155" s="586"/>
      <c r="F155" s="586"/>
      <c r="G155" s="586"/>
      <c r="H155" s="587"/>
    </row>
    <row r="156" spans="1:9" x14ac:dyDescent="0.3">
      <c r="C156" s="152" t="str">
        <f>template_label_gender</f>
        <v>Genere</v>
      </c>
      <c r="D156" s="1042" t="str">
        <f>template_label_number_of_annual_training_hours_per_employee_during_the_reporting_period</f>
        <v>B10 – Numero annuo di ore di formazione per dipendente durante il periodo di riferimento</v>
      </c>
      <c r="E156" s="1042"/>
      <c r="F156" s="1042"/>
      <c r="G156" s="1042"/>
      <c r="H156" s="1043"/>
      <c r="I156" s="15"/>
    </row>
    <row r="157" spans="1:9" x14ac:dyDescent="0.3">
      <c r="C157" s="153" t="str">
        <f>template_label_male</f>
        <v>Uomini</v>
      </c>
      <c r="D157" s="1044">
        <v>100</v>
      </c>
      <c r="E157" s="1044"/>
      <c r="F157" s="1044"/>
      <c r="G157" s="1044"/>
      <c r="H157" s="1045"/>
      <c r="I157" s="1046"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Donne</v>
      </c>
      <c r="D158" s="1044">
        <v>150</v>
      </c>
      <c r="E158" s="1044"/>
      <c r="F158" s="1044"/>
      <c r="G158" s="1044"/>
      <c r="H158" s="1045"/>
      <c r="I158" s="1046"/>
    </row>
    <row r="159" spans="1:9" x14ac:dyDescent="0.3">
      <c r="C159" s="153" t="str">
        <f>template_label_other</f>
        <v>Altro</v>
      </c>
      <c r="D159" s="1044">
        <v>140</v>
      </c>
      <c r="E159" s="1044"/>
      <c r="F159" s="1044"/>
      <c r="G159" s="1044"/>
      <c r="H159" s="1045"/>
      <c r="I159" s="1046"/>
    </row>
    <row r="160" spans="1:9" x14ac:dyDescent="0.3">
      <c r="C160" s="153" t="str">
        <f>template_label_not_reported</f>
        <v>Non comunicato</v>
      </c>
      <c r="D160" s="1044">
        <v>120</v>
      </c>
      <c r="E160" s="1044"/>
      <c r="F160" s="1044"/>
      <c r="G160" s="1044"/>
      <c r="H160" s="1045"/>
      <c r="I160" s="1046"/>
    </row>
    <row r="161" spans="1:9" x14ac:dyDescent="0.3">
      <c r="C161" s="1071" t="str">
        <f>template_label_average_number_of_annual_training_hours_per_employee</f>
        <v>Numero medio annuo di ore di formazione per dipendente</v>
      </c>
      <c r="D161" s="1072"/>
      <c r="E161" s="1072"/>
      <c r="F161" s="1072"/>
      <c r="G161" s="1072"/>
      <c r="H161" s="1073"/>
      <c r="I161" s="15"/>
    </row>
    <row r="162" spans="1:9" ht="15" thickBot="1" x14ac:dyDescent="0.35">
      <c r="C162" s="1074">
        <f>IFERROR(
    IF(
        AND(D18&lt;&gt;"",D18&lt;&gt;0,D19&lt;&gt;"",D19&lt;&gt;0,D20&lt;&gt;"",D20&lt;&gt;0,D21&lt;&gt;"",D21&lt;&gt;0),
        AVERAGE(D157:D160),
        IF(OR(D18="", D18=0), AVERAGE(D158:D160),
        IF(OR(D19="", D19=0), AVERAGE(D157,D159,D160),
        IF(OR(D20="", D20=0), AVERAGE(D157,D158,D160),
        IF(OR(D21="", D21=0), AVERAGE(D157,D158,D159), "-"))))
    ),
"-")</f>
        <v>127.5</v>
      </c>
      <c r="D162" s="1075"/>
      <c r="E162" s="1075"/>
      <c r="F162" s="1075"/>
      <c r="G162" s="1075"/>
      <c r="H162" s="1076"/>
      <c r="I162" s="15"/>
    </row>
    <row r="163" spans="1:9" ht="15" thickBot="1" x14ac:dyDescent="0.35"/>
    <row r="164" spans="1:9" ht="15" thickBot="1" x14ac:dyDescent="0.35">
      <c r="C164" s="1077" t="str">
        <f>template_label_c5_additional_workforce_characteristics&amp;" "&amp;template_label_from&amp;" "&amp;template_starting_date_display&amp;" "&amp;template_label_to&amp;" "&amp;template_ending_date_display&amp;" " &amp; template_label_may</f>
        <v>C5 – Altre caratteristiche (generali) della forza lavoro da 2024-01-01 a 2024-12-31 [Facoltà (facoltativo)]</v>
      </c>
      <c r="D164" s="1078"/>
      <c r="E164" s="1078"/>
      <c r="F164" s="1078"/>
      <c r="G164" s="1078"/>
      <c r="H164" s="1079"/>
    </row>
    <row r="165" spans="1:9" x14ac:dyDescent="0.3">
      <c r="A165" s="451">
        <v>59</v>
      </c>
      <c r="B165" s="452" t="s">
        <v>5660</v>
      </c>
      <c r="C165" s="158" t="str">
        <f>template_label_number_of_male_employees_at_management_level</f>
        <v>Numero di dipendenti di sesso maschile a livello dirigenziale</v>
      </c>
      <c r="D165" s="1022">
        <v>5</v>
      </c>
      <c r="E165" s="1023"/>
      <c r="F165" s="1023"/>
      <c r="G165" s="1023"/>
      <c r="H165" s="1024"/>
      <c r="I165" s="15" t="str">
        <f>IF(D165&lt;&gt;"", template_label_ok, "")</f>
        <v>OK</v>
      </c>
    </row>
    <row r="166" spans="1:9" x14ac:dyDescent="0.3">
      <c r="A166" s="451">
        <v>59</v>
      </c>
      <c r="B166" s="452" t="s">
        <v>5660</v>
      </c>
      <c r="C166" s="159" t="str">
        <f>template_label_number_of_female_employees_at_management_level</f>
        <v>Numero di dipendenti di sesso femminile a livello dirigenziale</v>
      </c>
      <c r="D166" s="1025">
        <v>4</v>
      </c>
      <c r="E166" s="1026"/>
      <c r="F166" s="1026"/>
      <c r="G166" s="1026"/>
      <c r="H166" s="1027"/>
      <c r="I166" s="15" t="str">
        <f>IF(D166&lt;&gt;"", template_label_ok, "")</f>
        <v>OK</v>
      </c>
    </row>
    <row r="167" spans="1:9" ht="15" thickBot="1" x14ac:dyDescent="0.35">
      <c r="A167" s="451">
        <v>59</v>
      </c>
      <c r="B167" s="452" t="s">
        <v>5660</v>
      </c>
      <c r="C167" s="157" t="str">
        <f>template_label_female_to_male_ratio_at_management_level_for_the_reporting_period</f>
        <v>Rapporto tra donne e uomini a livello dirigenziale per il periodo di riferimento</v>
      </c>
      <c r="D167" s="1080">
        <f>IF(AND(D165&lt;&gt;"",D166&lt;&gt;""),$D$166/$D$165,"-")</f>
        <v>0.8</v>
      </c>
      <c r="E167" s="1081"/>
      <c r="F167" s="1081"/>
      <c r="G167" s="1081"/>
      <c r="H167" s="1082"/>
    </row>
    <row r="168" spans="1:9" ht="28.8" x14ac:dyDescent="0.3">
      <c r="A168" s="441">
        <v>60</v>
      </c>
      <c r="B168" s="449" t="s">
        <v>5661</v>
      </c>
      <c r="C168" s="160" t="str">
        <f>template_label_total_self_employed_workers_without_personnel_that_are_working_exclusively_for_the_undertaking</f>
        <v>Numero totale di lavoratori autonomi senza personale che lavorano esclusivamente per l'impresa</v>
      </c>
      <c r="D168" s="1054">
        <v>4</v>
      </c>
      <c r="E168" s="1055"/>
      <c r="F168" s="1055"/>
      <c r="G168" s="1055"/>
      <c r="H168" s="1056"/>
      <c r="I168" s="15" t="str">
        <f>IF(D168&lt;&gt;"", template_label_ok, "")</f>
        <v>OK</v>
      </c>
    </row>
    <row r="169" spans="1:9" ht="29.4" thickBot="1" x14ac:dyDescent="0.35">
      <c r="A169" s="441">
        <v>60</v>
      </c>
      <c r="B169" s="450" t="s">
        <v>5661</v>
      </c>
      <c r="C169" s="161" t="str">
        <f>template_label_total_temporary_workers_provided_by_undertakings_primarily_engaged_in_employment_activities</f>
        <v>Numero totale di lavoratori temporanei messi a disposizione da imprese che esercitano principalmente attività di ricerca, selezione e fornitura di personale</v>
      </c>
      <c r="D169" s="1057">
        <v>50</v>
      </c>
      <c r="E169" s="1058"/>
      <c r="F169" s="1058"/>
      <c r="G169" s="1058"/>
      <c r="H169" s="1059"/>
      <c r="I169" s="15" t="str">
        <f>IF(D169&lt;&gt;"", template_label_ok, "")</f>
        <v>OK</v>
      </c>
    </row>
    <row r="170" spans="1:9" ht="15" thickBot="1" x14ac:dyDescent="0.35"/>
    <row r="171" spans="1:9" x14ac:dyDescent="0.3">
      <c r="C171" s="1060" t="str">
        <f>template_label_c6_additional_own_workforce_information_human_rights_policies_and_processes&amp;" "&amp;template_label_from&amp;" "&amp;template_starting_date_display&amp;" "&amp;template_label_to&amp;" "&amp;template_ending_date_display&amp;" "&amp;template_label_always_to_be_reported</f>
        <v>C6 – Altre informazioni sulla forza lavoro propria – Politiche e procedure in materia di diritti umani da 2024-01-01 a 2024-12-31 [Sempre da riportare]</v>
      </c>
      <c r="D171" s="1061"/>
      <c r="E171" s="1061"/>
      <c r="F171" s="1061"/>
      <c r="G171" s="1061"/>
      <c r="H171" s="1062"/>
    </row>
    <row r="172" spans="1:9" ht="28.8" x14ac:dyDescent="0.3">
      <c r="A172" s="441" t="s">
        <v>3763</v>
      </c>
      <c r="B172" s="449">
        <v>173</v>
      </c>
      <c r="C172" s="162" t="str">
        <f>template_label_does_the_undertaking_have_a_code_of_conduct_or_human_rights_policy_for_its_own_workforce</f>
        <v>L'impresa dispone di un codice di condotta o di una politica in materia di diritti umani per la forza lavoro propria?</v>
      </c>
      <c r="D172" s="1063" t="s">
        <v>2906</v>
      </c>
      <c r="E172" s="1064"/>
      <c r="F172" s="1064"/>
      <c r="G172" s="1064"/>
      <c r="H172" s="1065"/>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42" t="s">
        <v>3764</v>
      </c>
      <c r="B173" s="449">
        <v>173</v>
      </c>
      <c r="C173" s="126" t="str">
        <f>template_label_if_yes_does_this_cover</f>
        <v>In caso affermativo, questo riguarda:</v>
      </c>
      <c r="D173" s="1066"/>
      <c r="E173" s="1067"/>
      <c r="F173" s="1067"/>
      <c r="G173" s="1067"/>
      <c r="H173" s="1068"/>
    </row>
    <row r="174" spans="1:9" x14ac:dyDescent="0.3">
      <c r="A174" s="442" t="s">
        <v>3764</v>
      </c>
      <c r="B174" s="449">
        <v>173</v>
      </c>
      <c r="C174" s="163" t="str">
        <f>template_label_child_labour</f>
        <v>Lavoro minorile</v>
      </c>
      <c r="D174" s="1069" t="b">
        <v>1</v>
      </c>
      <c r="E174" s="1069"/>
      <c r="F174" s="1069"/>
      <c r="G174" s="1069"/>
      <c r="H174" s="1070"/>
      <c r="I174" s="1046"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42" t="s">
        <v>3764</v>
      </c>
      <c r="B175" s="449">
        <v>173</v>
      </c>
      <c r="C175" s="163" t="str">
        <f>template_label_forced_labour</f>
        <v>Lavoro forzato</v>
      </c>
      <c r="D175" s="1069" t="b">
        <v>1</v>
      </c>
      <c r="E175" s="1069"/>
      <c r="F175" s="1069"/>
      <c r="G175" s="1069"/>
      <c r="H175" s="1070"/>
      <c r="I175" s="1046"/>
    </row>
    <row r="176" spans="1:9" x14ac:dyDescent="0.3">
      <c r="A176" s="442" t="s">
        <v>3764</v>
      </c>
      <c r="B176" s="449">
        <v>173</v>
      </c>
      <c r="C176" s="163" t="str">
        <f>template_label_human_trafficking</f>
        <v>· tratta di esseri umani</v>
      </c>
      <c r="D176" s="1069" t="b">
        <v>1</v>
      </c>
      <c r="E176" s="1069"/>
      <c r="F176" s="1069"/>
      <c r="G176" s="1069"/>
      <c r="H176" s="1070"/>
      <c r="I176" s="1046"/>
    </row>
    <row r="177" spans="1:10" x14ac:dyDescent="0.3">
      <c r="A177" s="442" t="s">
        <v>3764</v>
      </c>
      <c r="B177" s="449">
        <v>173</v>
      </c>
      <c r="C177" s="163" t="str">
        <f>template_label_discrimination</f>
        <v>· discriminazione</v>
      </c>
      <c r="D177" s="1069" t="b">
        <v>1</v>
      </c>
      <c r="E177" s="1069"/>
      <c r="F177" s="1069"/>
      <c r="G177" s="1069"/>
      <c r="H177" s="1070"/>
      <c r="I177" s="1046"/>
    </row>
    <row r="178" spans="1:10" x14ac:dyDescent="0.3">
      <c r="A178" s="442" t="s">
        <v>3764</v>
      </c>
      <c r="B178" s="449">
        <v>173</v>
      </c>
      <c r="C178" s="164" t="str">
        <f>template_label_accident_prevention</f>
        <v>· Prevenzione degli infortuni</v>
      </c>
      <c r="D178" s="1091" t="b">
        <v>1</v>
      </c>
      <c r="E178" s="1069"/>
      <c r="F178" s="1069"/>
      <c r="G178" s="1069"/>
      <c r="H178" s="1070"/>
      <c r="I178" s="1046"/>
    </row>
    <row r="179" spans="1:10" x14ac:dyDescent="0.3">
      <c r="A179" s="442" t="s">
        <v>3764</v>
      </c>
      <c r="B179" s="449">
        <v>173</v>
      </c>
      <c r="C179" s="165" t="str">
        <f>template_label_other_if_yes_specify</f>
        <v>· altro? (se sì, precisare)</v>
      </c>
      <c r="D179" s="1069" t="b">
        <v>0</v>
      </c>
      <c r="E179" s="1069"/>
      <c r="F179" s="1069"/>
      <c r="G179" s="1069"/>
      <c r="H179" s="1070"/>
      <c r="I179" s="1046"/>
      <c r="J179" s="10" t="str">
        <f>template_label_other_warning</f>
        <v xml:space="preserve">ℹ️ Quando si sceglie "altro" come forma giuridica dell'impresa, si prega di compilare la riga sottostante
</v>
      </c>
    </row>
    <row r="180" spans="1:10" ht="33.6" customHeight="1" x14ac:dyDescent="0.3">
      <c r="A180" s="442" t="s">
        <v>3764</v>
      </c>
      <c r="B180" s="449">
        <v>173</v>
      </c>
      <c r="C180" s="98" t="str">
        <f>template_label_specify_other_types_of_content_covered_by_the_code_of_conduct_or_human_rights_policy</f>
        <v>Specifica altri tipi di contenuti coperti dal codice di condotta o dalla politica in materia di diritti umani</v>
      </c>
      <c r="D180" s="1083"/>
      <c r="E180" s="1083"/>
      <c r="F180" s="1083"/>
      <c r="G180" s="1083"/>
      <c r="H180" s="1084"/>
      <c r="I180" s="15" t="str">
        <f>IF(AND(D179=TRUE,D180&lt;&gt;""), template_label_ok,
IF(AND(D179=TRUE,D180=""), template_label_missing_value,
IF(AND(D179=FALSE,D180&lt;&gt;""), template_label_missing_value,
"")))</f>
        <v/>
      </c>
    </row>
    <row r="181" spans="1:10" ht="31.2" customHeight="1" thickBot="1" x14ac:dyDescent="0.35">
      <c r="A181" s="444" t="s">
        <v>3765</v>
      </c>
      <c r="B181" s="450">
        <v>173</v>
      </c>
      <c r="C181" s="166" t="str">
        <f>template_label_does_the_undertaking_have_a_complaint_handling_mechanism_for_its_own_workforce</f>
        <v>L'impresa dispone di un meccanismo di trattamento delle denunce per la forza lavoro propria?</v>
      </c>
      <c r="D181" s="1085" t="s">
        <v>2906</v>
      </c>
      <c r="E181" s="1086"/>
      <c r="F181" s="1086"/>
      <c r="G181" s="1086"/>
      <c r="H181" s="1087"/>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1060" t="str">
        <f>template_label_c7_severe_negative_human_rights_incidents&amp;" "&amp;template_label_from&amp;" "&amp;template_starting_date_display&amp;" "&amp;template_label_to&amp;" "&amp;template_ending_date_display&amp;" "&amp;template_label_always_to_be_reported</f>
        <v>C7 – Incidenti gravi in materia di diritti umani da 2024-01-01 a 2024-12-31 [Sempre da riportare]</v>
      </c>
      <c r="D183" s="1061"/>
      <c r="E183" s="1061"/>
      <c r="F183" s="1061"/>
      <c r="G183" s="1061"/>
      <c r="H183" s="1062"/>
    </row>
    <row r="184" spans="1:10" x14ac:dyDescent="0.3">
      <c r="A184" s="441">
        <v>62</v>
      </c>
      <c r="B184" s="449">
        <v>174</v>
      </c>
      <c r="C184" s="167" t="str">
        <f>template_label_does_the_undertaking_have_confirmed_incidents_in_its_own_workforce</f>
        <v>L'impresa ha confermato incidenti in seno alla forza lavoro propria?</v>
      </c>
      <c r="D184" s="513" t="s">
        <v>2907</v>
      </c>
      <c r="E184" s="513"/>
      <c r="F184" s="513"/>
      <c r="G184" s="513"/>
      <c r="H184" s="1088"/>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41" t="s">
        <v>3766</v>
      </c>
      <c r="B185" s="449">
        <v>174</v>
      </c>
      <c r="C185" s="167" t="str">
        <f>template_label_if_yes_are_incidents_related_to</f>
        <v>In caso affermativo, gli incidenti sono correlati a:</v>
      </c>
      <c r="D185" s="1066"/>
      <c r="E185" s="1067"/>
      <c r="F185" s="1067"/>
      <c r="G185" s="1067"/>
      <c r="H185" s="1068"/>
    </row>
    <row r="186" spans="1:10" x14ac:dyDescent="0.3">
      <c r="A186" s="441" t="s">
        <v>3766</v>
      </c>
      <c r="B186" s="449">
        <v>174</v>
      </c>
      <c r="C186" s="165" t="str">
        <f>template_label_child_labour</f>
        <v>Lavoro minorile</v>
      </c>
      <c r="D186" s="1089" t="b">
        <v>0</v>
      </c>
      <c r="E186" s="1089"/>
      <c r="F186" s="1089"/>
      <c r="G186" s="1089"/>
      <c r="H186" s="1090"/>
      <c r="I186" s="1046"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41" t="s">
        <v>3766</v>
      </c>
      <c r="B187" s="449">
        <v>174</v>
      </c>
      <c r="C187" s="165" t="str">
        <f>template_label_forced_labour</f>
        <v>Lavoro forzato</v>
      </c>
      <c r="D187" s="1089" t="b">
        <v>0</v>
      </c>
      <c r="E187" s="1089"/>
      <c r="F187" s="1089"/>
      <c r="G187" s="1089"/>
      <c r="H187" s="1090"/>
      <c r="I187" s="1046"/>
    </row>
    <row r="188" spans="1:10" x14ac:dyDescent="0.3">
      <c r="A188" s="441" t="s">
        <v>3766</v>
      </c>
      <c r="B188" s="449">
        <v>174</v>
      </c>
      <c r="C188" s="165" t="str">
        <f>template_label_human_trafficking</f>
        <v>· tratta di esseri umani</v>
      </c>
      <c r="D188" s="1089" t="b">
        <v>0</v>
      </c>
      <c r="E188" s="1089"/>
      <c r="F188" s="1089"/>
      <c r="G188" s="1089"/>
      <c r="H188" s="1090"/>
      <c r="I188" s="1046"/>
    </row>
    <row r="189" spans="1:10" x14ac:dyDescent="0.3">
      <c r="A189" s="441" t="s">
        <v>3766</v>
      </c>
      <c r="B189" s="449">
        <v>174</v>
      </c>
      <c r="C189" s="165" t="str">
        <f>template_label_discrimination</f>
        <v>· discriminazione</v>
      </c>
      <c r="D189" s="1089" t="b">
        <v>0</v>
      </c>
      <c r="E189" s="1089"/>
      <c r="F189" s="1089"/>
      <c r="G189" s="1089"/>
      <c r="H189" s="1090"/>
      <c r="I189" s="1046"/>
    </row>
    <row r="190" spans="1:10" x14ac:dyDescent="0.3">
      <c r="A190" s="441" t="s">
        <v>3766</v>
      </c>
      <c r="B190" s="449">
        <v>174</v>
      </c>
      <c r="C190" s="165" t="str">
        <f>template_label_other_if_yes_specify</f>
        <v>· altro? (se sì, precisare)</v>
      </c>
      <c r="D190" s="1089" t="b">
        <v>0</v>
      </c>
      <c r="E190" s="1089"/>
      <c r="F190" s="1089"/>
      <c r="G190" s="1089"/>
      <c r="H190" s="1090"/>
      <c r="I190" s="1046"/>
      <c r="J190" s="10" t="str">
        <f>template_label_other_warning</f>
        <v xml:space="preserve">ℹ️ Quando si sceglie "altro" come forma giuridica dell'impresa, si prega di compilare la riga sottostante
</v>
      </c>
    </row>
    <row r="191" spans="1:10" x14ac:dyDescent="0.3">
      <c r="A191" s="441" t="s">
        <v>3766</v>
      </c>
      <c r="B191" s="449">
        <v>174</v>
      </c>
      <c r="C191" s="98" t="str">
        <f>template_label_specify_other_human_rights_related_to_the_confirmed_incidents</f>
        <v>Specifica altri diritti umani relativi agli incidenti confermati</v>
      </c>
      <c r="D191" s="1098"/>
      <c r="E191" s="1098"/>
      <c r="F191" s="1098"/>
      <c r="G191" s="1098"/>
      <c r="H191" s="1099"/>
      <c r="I191" s="15" t="str">
        <f>IF(AND(D190=TRUE,D191&lt;&gt;""), template_label_ok,
IF(AND(D190=TRUE,D191=""), template_label_missing_value,
IF(AND(D190=FALSE,D191&lt;&gt;""), template_label_missing_value, "")))</f>
        <v/>
      </c>
    </row>
    <row r="192" spans="1:10" x14ac:dyDescent="0.3">
      <c r="A192" s="441" t="s">
        <v>3767</v>
      </c>
      <c r="B192" s="449">
        <v>174</v>
      </c>
      <c r="C192" s="98" t="str">
        <f>template_label_description_of_actions_taken_to_address_the_confirmed_incidents</f>
        <v>Descrizione delle azioni intraprese in risposta agli incidenti confermati</v>
      </c>
      <c r="D192" s="1092"/>
      <c r="E192" s="1093"/>
      <c r="F192" s="1093"/>
      <c r="G192" s="1093"/>
      <c r="H192" s="1094"/>
      <c r="I192" s="15" t="str">
        <f>IF(D192&lt;&gt;"",template_label_ok,"")</f>
        <v/>
      </c>
    </row>
    <row r="193" spans="1:9" ht="28.8" x14ac:dyDescent="0.3">
      <c r="A193" s="441" t="s">
        <v>3727</v>
      </c>
      <c r="B193" s="449">
        <v>174</v>
      </c>
      <c r="C193" s="126" t="str">
        <f>template_label_is_the_undertaking_aware_of_any_confirmed_incidents_involving_workers</f>
        <v>L'impresa è a conoscenza di incidenti confermati che coinvolgono lavoratori nella catena del valore, comunità interessate, consumatori e utilizzatori finali?</v>
      </c>
      <c r="D193" s="513" t="s">
        <v>2907</v>
      </c>
      <c r="E193" s="513"/>
      <c r="F193" s="513"/>
      <c r="G193" s="513"/>
      <c r="H193" s="1088"/>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41" t="s">
        <v>3727</v>
      </c>
      <c r="B194" s="450">
        <v>174</v>
      </c>
      <c r="C194" s="248" t="str">
        <f>template_label_specification_of_any_confirmed_incident_involving_workers</f>
        <v>Specificazione di eventuali incidenti confermati che coinvolgono lavoratori nella catena del valore, comunità interessate, consumatori e utilizzatori finali</v>
      </c>
      <c r="D194" s="1095"/>
      <c r="E194" s="1095"/>
      <c r="F194" s="1095"/>
      <c r="G194" s="1095"/>
      <c r="H194" s="1096"/>
      <c r="I194" s="15" t="str">
        <f>IF(AND(D193="YES",D194&lt;&gt;""), template_label_ok,
IF(AND(D193="YES",D194=""), template_label_missing_value,
IF(AND(D193="NO",D194&lt;&gt;""), template_label_missing_value, "")))</f>
        <v/>
      </c>
    </row>
    <row r="197" spans="1:9" ht="15" thickBot="1" x14ac:dyDescent="0.35"/>
    <row r="198" spans="1:9" x14ac:dyDescent="0.3">
      <c r="C198" s="671" t="str">
        <f>template_label_disclosure_of_any_other_social_and_or_entity_specific_social_disclosures&amp;" "&amp;template_label_from&amp;" "&amp;template_starting_date_display&amp;" "&amp;template_label_to&amp;" "&amp;template_ending_date_display&amp;" " &amp; template_label_may</f>
        <v>Comunicazione di qualsiasi altra informativa sociale e/o specifica per soggetto da 2024-01-01 a 2024-12-31 [Facoltà (facoltativo)]</v>
      </c>
      <c r="D198" s="672"/>
      <c r="E198" s="672"/>
      <c r="F198" s="672"/>
      <c r="G198" s="672"/>
      <c r="H198" s="673"/>
    </row>
    <row r="199" spans="1:9" x14ac:dyDescent="0.3">
      <c r="C199" s="590">
        <v>10</v>
      </c>
      <c r="D199" s="873"/>
      <c r="E199" s="873"/>
      <c r="F199" s="873"/>
      <c r="G199" s="873"/>
      <c r="H199" s="874"/>
    </row>
    <row r="200" spans="1:9" ht="15" thickBot="1" x14ac:dyDescent="0.35">
      <c r="C200" s="666"/>
      <c r="D200" s="667"/>
      <c r="E200" s="667"/>
      <c r="F200" s="667"/>
      <c r="G200" s="667"/>
      <c r="H200" s="1097"/>
      <c r="I200" s="15" t="str">
        <f>IF(C200&lt;&gt;"", template_label_ok, "")</f>
        <v/>
      </c>
    </row>
  </sheetData>
  <sheetProtection algorithmName="SHA-512" hashValue="G0GYU/pdRDjpSfzhF4VVO6bI9Hv4l2D3P38VkYwZ66z1D9hdXpIp97lsCme/1v3/uuNJLc+kScBxW2J3JTwqow==" saltValue="GeJblDf7kMMJ2IS8h2kshw==" spinCount="100000" sheet="1" formatColumns="0" formatRows="0" insertRows="0"/>
  <mergeCells count="298">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34" priority="28">
      <formula>$D$179=TRUE</formula>
    </cfRule>
  </conditionalFormatting>
  <conditionalFormatting sqref="D191:D192">
    <cfRule type="expression" dxfId="133" priority="17">
      <formula>$D$190=TRUE</formula>
    </cfRule>
  </conditionalFormatting>
  <conditionalFormatting sqref="D194">
    <cfRule type="expression" dxfId="132" priority="16">
      <formula>$D$193="YES"</formula>
    </cfRule>
  </conditionalFormatting>
  <conditionalFormatting sqref="D174:H179">
    <cfRule type="expression" dxfId="129" priority="33">
      <formula>$D$172="YES"</formula>
    </cfRule>
  </conditionalFormatting>
  <conditionalFormatting sqref="D186:H190">
    <cfRule type="expression" dxfId="128" priority="22">
      <formula>$D$184="YES"</formula>
    </cfRule>
  </conditionalFormatting>
  <conditionalFormatting sqref="D192:H192">
    <cfRule type="expression" dxfId="126" priority="9">
      <formula>$D$184="YES"</formula>
    </cfRule>
  </conditionalFormatting>
  <conditionalFormatting sqref="E29:H29">
    <cfRule type="expression" dxfId="125" priority="1">
      <formula>$E$27=TRUE</formula>
    </cfRule>
  </conditionalFormatting>
  <conditionalFormatting sqref="E29:H128">
    <cfRule type="expression" dxfId="124" priority="59">
      <formula>$C29&lt;&gt;""</formula>
    </cfRule>
  </conditionalFormatting>
  <conditionalFormatting sqref="E30:H128">
    <cfRule type="expression" dxfId="123" priority="60">
      <formula>$D30=""</formula>
    </cfRule>
  </conditionalFormatting>
  <conditionalFormatting sqref="H10:H11">
    <cfRule type="expression" dxfId="122" priority="70">
      <formula>$H10=template_label_missing_value</formula>
    </cfRule>
    <cfRule type="expression" dxfId="121" priority="71">
      <formula>$H10=template_label_ok</formula>
    </cfRule>
  </conditionalFormatting>
  <conditionalFormatting sqref="H12">
    <cfRule type="expression" dxfId="120" priority="73">
      <formula>$H$12="VALUE INCONSISTENCY"</formula>
    </cfRule>
    <cfRule type="expression" dxfId="119" priority="72">
      <formula>$H$12="OK"</formula>
    </cfRule>
  </conditionalFormatting>
  <conditionalFormatting sqref="H18:H21">
    <cfRule type="expression" dxfId="118" priority="65">
      <formula>$H$18=template_label_missing_value</formula>
    </cfRule>
    <cfRule type="expression" dxfId="117" priority="66">
      <formula>$H$18=template_label_ok</formula>
    </cfRule>
  </conditionalFormatting>
  <conditionalFormatting sqref="H22">
    <cfRule type="expression" dxfId="116" priority="67">
      <formula>$H$22="VALUE INCONSISTENCY"</formula>
    </cfRule>
    <cfRule type="expression" dxfId="115" priority="68">
      <formula>$H$22="MISSING VALUE"</formula>
    </cfRule>
    <cfRule type="expression" dxfId="114" priority="69">
      <formula>$H$22="OK"</formula>
    </cfRule>
  </conditionalFormatting>
  <conditionalFormatting sqref="I29:I128">
    <cfRule type="expression" dxfId="113" priority="4">
      <formula>$I29=template_label_value_inconsistency</formula>
    </cfRule>
    <cfRule type="expression" dxfId="112" priority="64">
      <formula>$I29=template_label_missing_value</formula>
    </cfRule>
    <cfRule type="expression" dxfId="111" priority="63">
      <formula>$I29=template_label_ok</formula>
    </cfRule>
  </conditionalFormatting>
  <conditionalFormatting sqref="I129">
    <cfRule type="expression" dxfId="110" priority="62">
      <formula>$I$129="VALUE INCONSISTENCY"</formula>
    </cfRule>
    <cfRule type="expression" dxfId="109" priority="61">
      <formula>$I$129="OK"</formula>
    </cfRule>
  </conditionalFormatting>
  <conditionalFormatting sqref="I134:I136">
    <cfRule type="expression" dxfId="108" priority="58">
      <formula>$I134=template_label_ok</formula>
    </cfRule>
    <cfRule type="expression" dxfId="107" priority="57">
      <formula>$I134=template_label_missing_value</formula>
    </cfRule>
  </conditionalFormatting>
  <conditionalFormatting sqref="I140:I141">
    <cfRule type="expression" dxfId="106" priority="54">
      <formula>$I140=template_label_missing_value</formula>
    </cfRule>
    <cfRule type="expression" dxfId="105" priority="55">
      <formula>$I140=template_label_ok</formula>
    </cfRule>
  </conditionalFormatting>
  <conditionalFormatting sqref="I142">
    <cfRule type="expression" dxfId="104" priority="50">
      <formula>$I$142="OK"</formula>
    </cfRule>
    <cfRule type="expression" dxfId="103" priority="51">
      <formula>$I$142="MISSING VALUE"</formula>
    </cfRule>
  </conditionalFormatting>
  <conditionalFormatting sqref="I144">
    <cfRule type="expression" dxfId="102" priority="52">
      <formula>$I$144=template_label_missing_value</formula>
    </cfRule>
    <cfRule type="expression" dxfId="101" priority="53">
      <formula>$I$144=template_label_ok</formula>
    </cfRule>
  </conditionalFormatting>
  <conditionalFormatting sqref="I147">
    <cfRule type="expression" dxfId="100" priority="44">
      <formula>$I$147=template_label_missing_value</formula>
    </cfRule>
    <cfRule type="expression" dxfId="99" priority="45">
      <formula>$I$147=template_label_ok</formula>
    </cfRule>
  </conditionalFormatting>
  <conditionalFormatting sqref="I148:I149">
    <cfRule type="expression" dxfId="98" priority="49">
      <formula>$I148=template_label_missing_value</formula>
    </cfRule>
    <cfRule type="expression" dxfId="97" priority="48">
      <formula>$I148=template_label_ok</formula>
    </cfRule>
  </conditionalFormatting>
  <conditionalFormatting sqref="I151">
    <cfRule type="expression" dxfId="96" priority="47">
      <formula>$I$151=template_label_missing_value</formula>
    </cfRule>
    <cfRule type="expression" dxfId="95" priority="46">
      <formula>$I$151=template_label_ok</formula>
    </cfRule>
  </conditionalFormatting>
  <conditionalFormatting sqref="I156:I157 I161">
    <cfRule type="expression" dxfId="94" priority="42">
      <formula>$I156=template_label_missing_value</formula>
    </cfRule>
    <cfRule type="expression" dxfId="93" priority="41">
      <formula>$I156=template_label_ok</formula>
    </cfRule>
  </conditionalFormatting>
  <conditionalFormatting sqref="I165">
    <cfRule type="expression" dxfId="92" priority="40">
      <formula>$I$165=template_label_ok</formula>
    </cfRule>
  </conditionalFormatting>
  <conditionalFormatting sqref="I166">
    <cfRule type="expression" dxfId="91" priority="39">
      <formula>$I$166=template_label_ok</formula>
    </cfRule>
  </conditionalFormatting>
  <conditionalFormatting sqref="I168">
    <cfRule type="expression" dxfId="90" priority="38">
      <formula>$I$168=template_label_ok</formula>
    </cfRule>
  </conditionalFormatting>
  <conditionalFormatting sqref="I169">
    <cfRule type="expression" dxfId="89" priority="37">
      <formula>$I$169=template_label_ok</formula>
    </cfRule>
  </conditionalFormatting>
  <conditionalFormatting sqref="I172">
    <cfRule type="expression" dxfId="88" priority="29">
      <formula>$I$172=template_label_missing_value</formula>
    </cfRule>
    <cfRule type="expression" dxfId="87" priority="30">
      <formula>$I$172=template_label_ok</formula>
    </cfRule>
  </conditionalFormatting>
  <conditionalFormatting sqref="I174:I179">
    <cfRule type="expression" dxfId="86" priority="6">
      <formula>$I$174=template_label_value_inconsistency</formula>
    </cfRule>
    <cfRule type="expression" dxfId="85" priority="25">
      <formula>$I$174=template_label_ok</formula>
    </cfRule>
    <cfRule type="expression" dxfId="84" priority="24">
      <formula>$I$174=template_label_missing_value</formula>
    </cfRule>
  </conditionalFormatting>
  <conditionalFormatting sqref="I180">
    <cfRule type="expression" dxfId="83" priority="32">
      <formula>$I$180=template_label_missing_value</formula>
    </cfRule>
    <cfRule type="expression" dxfId="82" priority="31">
      <formula>$I$180=template_label_ok</formula>
    </cfRule>
  </conditionalFormatting>
  <conditionalFormatting sqref="I181">
    <cfRule type="expression" dxfId="81" priority="27">
      <formula>$I$181=template_label_ok</formula>
    </cfRule>
    <cfRule type="expression" dxfId="80" priority="26">
      <formula>$I$181=template_label_missing_value</formula>
    </cfRule>
  </conditionalFormatting>
  <conditionalFormatting sqref="I184">
    <cfRule type="expression" dxfId="79" priority="15">
      <formula>$I$184=template_label_missing_value</formula>
    </cfRule>
    <cfRule type="expression" dxfId="78" priority="14">
      <formula>$I$184=template_label_ok</formula>
    </cfRule>
  </conditionalFormatting>
  <conditionalFormatting sqref="I186:I190">
    <cfRule type="expression" dxfId="77" priority="13">
      <formula>$I$186=template_label_missing_value</formula>
    </cfRule>
    <cfRule type="expression" dxfId="76" priority="12">
      <formula>$I$186=template_label_ok</formula>
    </cfRule>
    <cfRule type="expression" dxfId="75" priority="5">
      <formula>$I$186=template_label_value_inconsistency</formula>
    </cfRule>
  </conditionalFormatting>
  <conditionalFormatting sqref="I191">
    <cfRule type="expression" dxfId="74" priority="21">
      <formula>$I$191=template_label_missing_value</formula>
    </cfRule>
    <cfRule type="expression" dxfId="73" priority="20">
      <formula>$I$191=template_label_ok</formula>
    </cfRule>
  </conditionalFormatting>
  <conditionalFormatting sqref="I192">
    <cfRule type="expression" dxfId="72" priority="8">
      <formula>$I$192=template_label_ok</formula>
    </cfRule>
  </conditionalFormatting>
  <conditionalFormatting sqref="I193">
    <cfRule type="expression" dxfId="71" priority="10">
      <formula>$I$193=template_label_missing_value</formula>
    </cfRule>
    <cfRule type="expression" dxfId="70" priority="11">
      <formula>$I$193=template_label_ok</formula>
    </cfRule>
  </conditionalFormatting>
  <conditionalFormatting sqref="I194">
    <cfRule type="expression" dxfId="69" priority="18">
      <formula>$I$194=template_label_missing_value</formula>
    </cfRule>
    <cfRule type="expression" dxfId="68" priority="19">
      <formula>$I$194=template_label_ok</formula>
    </cfRule>
  </conditionalFormatting>
  <conditionalFormatting sqref="I200">
    <cfRule type="expression" dxfId="67"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592" t="str">
        <f>template_label_b11_convictions_and_fines_for_corruption_and_bribery&amp;" "&amp;template_label_from&amp;" "&amp;template_starting_date_display&amp;" "&amp;template_label_to&amp;" "&amp;template_ending_date_display&amp;" "&amp;template_label_if_applicable</f>
        <v>B11 – Condanne e ammende per corruzione attiva e passiva da 2024-01-01 a 2024-12-31 [Se applicabile]</v>
      </c>
      <c r="D2" s="912"/>
      <c r="E2" s="912"/>
      <c r="F2" s="912"/>
      <c r="G2" s="912"/>
      <c r="H2" s="913"/>
    </row>
    <row r="3" spans="1:9" x14ac:dyDescent="0.3">
      <c r="A3" s="10"/>
      <c r="B3" s="10"/>
      <c r="C3" s="1129">
        <v>43</v>
      </c>
      <c r="D3" s="1130"/>
      <c r="E3" s="1130"/>
      <c r="F3" s="1130"/>
      <c r="G3" s="1130"/>
      <c r="H3" s="1131"/>
    </row>
    <row r="4" spans="1:9" x14ac:dyDescent="0.3">
      <c r="A4" s="10"/>
      <c r="B4" s="10"/>
      <c r="C4" s="1132" t="s">
        <v>5662</v>
      </c>
      <c r="D4" s="1100"/>
      <c r="E4" s="1100"/>
      <c r="F4" s="1100"/>
      <c r="G4" s="1100"/>
      <c r="H4" s="1133"/>
    </row>
    <row r="5" spans="1:9" s="10" customFormat="1" x14ac:dyDescent="0.3">
      <c r="C5" s="1108" t="str">
        <f>template_label_has_the_undertaking_incurred_in_convictions_and_fines_in_the_reporting_period</f>
        <v>L'impresa ha subito condanne e ammende nel periodo di riferimento?</v>
      </c>
      <c r="D5" s="1109"/>
      <c r="E5" s="1109"/>
      <c r="F5" s="1109"/>
      <c r="G5" s="1109"/>
      <c r="H5" s="168" t="b">
        <v>1</v>
      </c>
      <c r="I5" s="15"/>
    </row>
    <row r="6" spans="1:9" s="10" customFormat="1" ht="21.6" customHeight="1" x14ac:dyDescent="0.3">
      <c r="C6" s="1152" t="str">
        <f>template_label_total_number_of_convictions_for_the_violation_of_anti_corruption_and_anti_bribery_laws</f>
        <v>Numero totale delle condanne per violazione delle leggi in materia di lotta alla corruzione passiva e attiva</v>
      </c>
      <c r="D6" s="1153"/>
      <c r="E6" s="1153"/>
      <c r="F6" s="1153"/>
      <c r="G6" s="1154"/>
      <c r="H6" s="289">
        <v>1</v>
      </c>
      <c r="I6" s="15" t="str">
        <f>IF(AND($H$5=TRUE,H6&lt;&gt;""), template_label_ok,
IF(AND($H$5=TRUE,H6=""), template_label_missing_value, ""))</f>
        <v>OK</v>
      </c>
    </row>
    <row r="7" spans="1:9" s="10" customFormat="1" ht="15" thickBot="1" x14ac:dyDescent="0.35">
      <c r="C7" s="1155" t="str">
        <f>template_label_total_amount_of_fines_for_the_violation_of_anti_corruption_and_anti_bribery_laws &amp; " " &amp; "(" &amp; template_label_amount_in &amp; " " &amp; template_currency &amp; ")"</f>
        <v>Importo complessivo delle ammende in cui è incorsa per violazione delle leggi in materia di lotta alla corruzione passiva e attiva (importo in EUR)</v>
      </c>
      <c r="D7" s="1156"/>
      <c r="E7" s="1156"/>
      <c r="F7" s="1156"/>
      <c r="G7" s="1157"/>
      <c r="H7" s="290">
        <v>5000</v>
      </c>
      <c r="I7" s="15" t="str">
        <f>IF(AND($H$5=TRUE,H7&lt;&gt;""), template_label_ok,
IF(AND($H$5=TRUE,H7=""), template_label_missing_value, ""))</f>
        <v>OK</v>
      </c>
    </row>
    <row r="8" spans="1:9" s="10" customFormat="1" ht="15" thickBot="1" x14ac:dyDescent="0.35">
      <c r="I8" s="15"/>
    </row>
    <row r="9" spans="1:9" s="10" customFormat="1" x14ac:dyDescent="0.3">
      <c r="C9" s="754" t="str">
        <f>template_label_c8_revenues_from_certain_sectors&amp;" "&amp;template_label_from&amp;" "&amp;template_starting_date_display&amp;" "&amp;template_label_to&amp;" "&amp;template_ending_date_display&amp;" "&amp;template_label_if_applicable</f>
        <v>C8 – Ricavi da determinate attività da 2024-01-01 a 2024-12-31 [Se applicabile]</v>
      </c>
      <c r="D9" s="1124"/>
      <c r="E9" s="1124"/>
      <c r="F9" s="1124"/>
      <c r="G9" s="1124"/>
      <c r="H9" s="1125"/>
      <c r="I9" s="15"/>
    </row>
    <row r="10" spans="1:9" ht="28.2" customHeight="1" x14ac:dyDescent="0.3">
      <c r="A10" s="10"/>
      <c r="B10" s="10"/>
      <c r="C10" s="1108" t="str">
        <f>template_label_is_the_undertaking_deriving_revenues_from_one_of_the_activities_listed_below</f>
        <v>L'impresa genera ricavi da una delle attività elencate di seguito?</v>
      </c>
      <c r="D10" s="1109"/>
      <c r="E10" s="1109"/>
      <c r="F10" s="1109"/>
      <c r="G10" s="1109"/>
      <c r="H10" s="169" t="b">
        <v>0</v>
      </c>
    </row>
    <row r="11" spans="1:9" x14ac:dyDescent="0.3">
      <c r="A11" s="10"/>
      <c r="B11" s="10"/>
      <c r="C11" s="1138"/>
      <c r="D11" s="1139"/>
      <c r="E11" s="1139"/>
      <c r="F11" s="1139"/>
      <c r="G11" s="1139"/>
      <c r="H11" s="53" t="str">
        <f>template_label_monetary_amount_in &amp; " " &amp; template_currency</f>
        <v>Importo monetario in EUR</v>
      </c>
    </row>
    <row r="12" spans="1:9" s="10" customFormat="1" ht="32.4" customHeight="1" x14ac:dyDescent="0.3">
      <c r="A12" s="443" t="s">
        <v>3768</v>
      </c>
      <c r="B12" s="446" t="s">
        <v>5664</v>
      </c>
      <c r="C12" s="652" t="str">
        <f>template_label_revenue_derived_from_controversial_weapons</f>
        <v>Ricavi derivanti da armi controverse (mine antiuomo, munizioni a grappolo, armi chimiche e armi biologiche)</v>
      </c>
      <c r="D12" s="653"/>
      <c r="E12" s="653"/>
      <c r="F12" s="653"/>
      <c r="G12" s="653"/>
      <c r="H12" s="285"/>
      <c r="I12" s="1112"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43" t="s">
        <v>3769</v>
      </c>
      <c r="B13" s="446" t="s">
        <v>5664</v>
      </c>
      <c r="C13" s="534" t="str">
        <f>template_label_revenue_derived_from_cultivation_and_production_of_tobacco</f>
        <v>Ricavi derivanti dalla coltivazione e produzione di tabacco</v>
      </c>
      <c r="D13" s="702"/>
      <c r="E13" s="702"/>
      <c r="F13" s="702"/>
      <c r="G13" s="702"/>
      <c r="H13" s="286"/>
      <c r="I13" s="1112"/>
    </row>
    <row r="14" spans="1:9" s="10" customFormat="1" x14ac:dyDescent="0.3">
      <c r="A14" s="454" t="s">
        <v>3770</v>
      </c>
      <c r="B14" s="446" t="s">
        <v>5664</v>
      </c>
      <c r="C14" s="1113" t="str">
        <f>template_label_revenue_derived_from_coal</f>
        <v>Ricavi derivanti dal carbone</v>
      </c>
      <c r="D14" s="1114"/>
      <c r="E14" s="1114"/>
      <c r="F14" s="1114"/>
      <c r="G14" s="1114"/>
      <c r="H14" s="287"/>
      <c r="I14" s="1112"/>
    </row>
    <row r="15" spans="1:9" s="10" customFormat="1" x14ac:dyDescent="0.3">
      <c r="A15" s="454" t="s">
        <v>3770</v>
      </c>
      <c r="B15" s="446" t="s">
        <v>5664</v>
      </c>
      <c r="C15" s="652" t="str">
        <f>template_label_revenue_derived_from_oil</f>
        <v>Ricavi derivanti dal petrolio</v>
      </c>
      <c r="D15" s="653"/>
      <c r="E15" s="653"/>
      <c r="F15" s="653"/>
      <c r="G15" s="653"/>
      <c r="H15" s="285"/>
      <c r="I15" s="1112"/>
    </row>
    <row r="16" spans="1:9" s="10" customFormat="1" x14ac:dyDescent="0.3">
      <c r="A16" s="454" t="s">
        <v>3770</v>
      </c>
      <c r="B16" s="446" t="s">
        <v>5664</v>
      </c>
      <c r="C16" s="652" t="str">
        <f>template_label_revenue_derived_from_gas</f>
        <v>Ricavi derivanti dal gas</v>
      </c>
      <c r="D16" s="653"/>
      <c r="E16" s="653"/>
      <c r="F16" s="653"/>
      <c r="G16" s="653"/>
      <c r="H16" s="285"/>
      <c r="I16" s="1112"/>
    </row>
    <row r="17" spans="1:9" s="10" customFormat="1" ht="60.6" customHeight="1" thickBot="1" x14ac:dyDescent="0.35">
      <c r="A17" s="454" t="s">
        <v>3770</v>
      </c>
      <c r="B17" s="446" t="s">
        <v>5664</v>
      </c>
      <c r="C17" s="1110" t="str">
        <f>template_label_total_revenues_derived_from_fossil_fuel_sector</f>
        <v>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v>
      </c>
      <c r="D17" s="1111"/>
      <c r="E17" s="1111"/>
      <c r="F17" s="1111"/>
      <c r="G17" s="1111"/>
      <c r="H17" s="281" t="str">
        <f>IF(COUNTA(H14:H16)=0, "-", SUM(H14:H16))</f>
        <v>-</v>
      </c>
      <c r="I17" s="1112"/>
    </row>
    <row r="18" spans="1:9" s="10" customFormat="1" ht="15" thickBot="1" x14ac:dyDescent="0.35">
      <c r="A18" s="443" t="s">
        <v>3771</v>
      </c>
      <c r="B18" s="446" t="s">
        <v>5664</v>
      </c>
      <c r="C18" s="536" t="str">
        <f>template_label_revenue_derived_from_chemicals_production</f>
        <v>Ricavi derivanti dalla produzione di sostanze chimiche</v>
      </c>
      <c r="D18" s="1137"/>
      <c r="E18" s="1137"/>
      <c r="F18" s="1137"/>
      <c r="G18" s="1137"/>
      <c r="H18" s="288"/>
      <c r="I18" s="1112"/>
    </row>
    <row r="19" spans="1:9" s="10" customFormat="1" ht="15" thickBot="1" x14ac:dyDescent="0.35">
      <c r="I19" s="15"/>
    </row>
    <row r="20" spans="1:9" s="10" customFormat="1" x14ac:dyDescent="0.3">
      <c r="C20" s="754" t="str">
        <f>template_label_c8_exclusion_from_eu_reference_benchmarks&amp;" "&amp;template_label_from&amp;" "&amp;template_starting_date_display&amp;" "&amp;template_label_to&amp;" "&amp;template_ending_date_display&amp;" "&amp;template_label_always_to_be_reported</f>
        <v>C8 – Esclusione dagli indici di riferimento dell'UE da 2024-01-01 a 2024-12-31 [Sempre da riportare]</v>
      </c>
      <c r="D20" s="1124"/>
      <c r="E20" s="1124"/>
      <c r="F20" s="1124"/>
      <c r="G20" s="1124"/>
      <c r="H20" s="1125"/>
      <c r="I20" s="15"/>
    </row>
    <row r="21" spans="1:9" s="10" customFormat="1" x14ac:dyDescent="0.3">
      <c r="B21" s="401"/>
      <c r="C21" s="1134" t="str">
        <f>template_label_undertakings_are_excluded_from_the_eu_paris_aligned_benchmarks_if_they_derive</f>
        <v>Le imprese escluse dagli indici di riferimento UE allineati con l'accordo di Parigi sono le seguenti:</v>
      </c>
      <c r="D21" s="1135"/>
      <c r="E21" s="1135"/>
      <c r="F21" s="1135"/>
      <c r="G21" s="1135"/>
      <c r="H21" s="1136"/>
      <c r="I21" s="15"/>
    </row>
    <row r="22" spans="1:9" s="10" customFormat="1" ht="30" customHeight="1" x14ac:dyDescent="0.3">
      <c r="A22" s="443">
        <v>64</v>
      </c>
      <c r="B22" s="446" t="s">
        <v>5663</v>
      </c>
      <c r="C22" s="1140" t="str">
        <f>template_label_1_percent_or_more_of_their_revenues_from_exploration_mining_extraction_distribution_or_refining_of_hard_coal_and_lignite</f>
        <v>società che ottengono l'1 % o più dei ricavi dalla prospezione, estrazione, distribuzione o raffinazione di carbon fossile e lignite;</v>
      </c>
      <c r="D22" s="1141"/>
      <c r="E22" s="1141"/>
      <c r="F22" s="1141"/>
      <c r="G22" s="1142"/>
      <c r="H22" s="170" t="b">
        <v>0</v>
      </c>
      <c r="I22" s="1046"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43">
        <v>64</v>
      </c>
      <c r="B23" s="446" t="s">
        <v>5665</v>
      </c>
      <c r="C23" s="1143" t="str">
        <f>template_label_10_percent_or_more_of_their_revenues_from_the_exploration_extraction_distribution_or_refining_of_oil_fuels</f>
        <v>società che ottengono il 10% o più dei ricavi dalla prospezione, estrazione, distribuzione o raffinazione di oli combustibili</v>
      </c>
      <c r="D23" s="1144"/>
      <c r="E23" s="1144"/>
      <c r="F23" s="1144"/>
      <c r="G23" s="1145"/>
      <c r="H23" s="171" t="b">
        <v>0</v>
      </c>
      <c r="I23" s="1046"/>
    </row>
    <row r="24" spans="1:9" s="10" customFormat="1" ht="32.4" customHeight="1" x14ac:dyDescent="0.3">
      <c r="A24" s="443">
        <v>64</v>
      </c>
      <c r="B24" s="446" t="s">
        <v>5666</v>
      </c>
      <c r="C24" s="1146" t="str">
        <f>template_label_50_percent_or_more_of_their_revenues_from_the_exploration_extraction_manufacturing_or_distribution_of_gaseous_fuels</f>
        <v>società che ottengono il 50 % o più dei ricavi dalla prospezione, estrazione, produzione o distribuzione di gas combustibili</v>
      </c>
      <c r="D24" s="1147"/>
      <c r="E24" s="1147"/>
      <c r="F24" s="1147"/>
      <c r="G24" s="1148"/>
      <c r="H24" s="171" t="b">
        <v>0</v>
      </c>
      <c r="I24" s="1046"/>
    </row>
    <row r="25" spans="1:9" s="10" customFormat="1" ht="31.2" customHeight="1" thickBot="1" x14ac:dyDescent="0.35">
      <c r="A25" s="443">
        <v>64</v>
      </c>
      <c r="B25" s="446" t="s">
        <v>5667</v>
      </c>
      <c r="C25" s="1149" t="str">
        <f>template_label_50_percent_or_more_of_their_revenues_from_electricity_generation</f>
        <v>società che ottengono il 50 % o più dei ricavi dalla produzione di energia elettrica con un'intensità dei gas a effetto serra superiore a 100 g CO2 eq/kWh</v>
      </c>
      <c r="D25" s="1150"/>
      <c r="E25" s="1150"/>
      <c r="F25" s="1150"/>
      <c r="G25" s="1151"/>
      <c r="H25" s="172" t="b">
        <v>0</v>
      </c>
      <c r="I25" s="1046"/>
    </row>
    <row r="26" spans="1:9" s="10" customFormat="1" ht="15" thickBot="1" x14ac:dyDescent="0.35">
      <c r="C26" s="1118" t="str">
        <f>template_label_none_of_the_above</f>
        <v xml:space="preserve">Nessuno dei precedenti 
</v>
      </c>
      <c r="D26" s="1119"/>
      <c r="E26" s="1119"/>
      <c r="F26" s="1119"/>
      <c r="G26" s="1120"/>
      <c r="H26" s="173" t="b">
        <v>1</v>
      </c>
      <c r="I26" s="1046"/>
    </row>
    <row r="27" spans="1:9" s="10" customFormat="1" ht="15" thickBot="1" x14ac:dyDescent="0.35">
      <c r="A27" s="443">
        <v>64</v>
      </c>
      <c r="B27" s="446">
        <v>177</v>
      </c>
      <c r="C27" s="1121" t="str">
        <f>template_label_undertakings_are_excluded_from_any_eu_reference_benchmarks_that_are_aligned_with_the_paris_agreement</f>
        <v xml:space="preserve">Le imprese sono escluse da qualsiasi indice di riferimento UE allineato con l'accordo di Parigi. 
</v>
      </c>
      <c r="D27" s="1122"/>
      <c r="E27" s="1122"/>
      <c r="F27" s="1122"/>
      <c r="G27" s="1123"/>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126" t="str">
        <f>template_label_c9_gender_diversity_ratio_in_the_governance_body&amp;" "&amp;template_label_at&amp;" "&amp;template_ending_date_display&amp;" "&amp;template_label_if_applicable</f>
        <v>Diversità di genere nell'organo di governance a 2024-12-31 [Se applicabile]</v>
      </c>
      <c r="D29" s="1127"/>
      <c r="E29" s="1127"/>
      <c r="F29" s="1127"/>
      <c r="G29" s="1127"/>
      <c r="H29" s="1128"/>
      <c r="I29" s="15"/>
    </row>
    <row r="30" spans="1:9" s="10" customFormat="1" x14ac:dyDescent="0.3">
      <c r="C30" s="1108" t="str">
        <f>template_label_does_the_undertaking_have_a_governance_body_in_place</f>
        <v>L'impresa dispone di un organo di governance?</v>
      </c>
      <c r="D30" s="1109"/>
      <c r="E30" s="1109"/>
      <c r="F30" s="1109"/>
      <c r="G30" s="1109"/>
      <c r="H30" s="169" t="b">
        <v>1</v>
      </c>
      <c r="I30" s="15"/>
    </row>
    <row r="31" spans="1:9" s="10" customFormat="1" x14ac:dyDescent="0.3">
      <c r="A31" s="1100">
        <v>65</v>
      </c>
      <c r="B31" s="1103" t="s">
        <v>5668</v>
      </c>
      <c r="C31" s="1108" t="str">
        <f>template_label_number_of_female_board_members_at_the_end_of_the_reporting_period</f>
        <v xml:space="preserve">Numero di membri femminili nel consiglio alla fine del periodo di riferimento
</v>
      </c>
      <c r="D31" s="1109"/>
      <c r="E31" s="1109"/>
      <c r="F31" s="1109"/>
      <c r="G31" s="1109"/>
      <c r="H31" s="285">
        <v>5</v>
      </c>
      <c r="I31" s="15" t="str">
        <f>IF(AND($H$30=TRUE, H31&lt;&gt;""), template_label_ok, IF(AND($H$30=TRUE, H31=""), template_label_missing_value, ""))</f>
        <v>OK</v>
      </c>
    </row>
    <row r="32" spans="1:9" s="10" customFormat="1" x14ac:dyDescent="0.3">
      <c r="A32" s="1101"/>
      <c r="B32" s="1104"/>
      <c r="C32" s="1108" t="str">
        <f>template_label_number_of_male_board_members_at_the_end_of_the_reporting_period</f>
        <v>Numero di membri maschili nel consiglio alla fine del periodo di riferimento</v>
      </c>
      <c r="D32" s="1109"/>
      <c r="E32" s="1109"/>
      <c r="F32" s="1109"/>
      <c r="G32" s="1109"/>
      <c r="H32" s="285">
        <v>2</v>
      </c>
      <c r="I32" s="15" t="str">
        <f>IF(AND($H$30=TRUE, H32&lt;&gt;""), template_label_ok, IF(AND($H$30=TRUE, H32=""), template_label_missing_value, ""))</f>
        <v>OK</v>
      </c>
    </row>
    <row r="33" spans="1:9" s="10" customFormat="1" ht="15" thickBot="1" x14ac:dyDescent="0.35">
      <c r="A33" s="1102"/>
      <c r="B33" s="1105"/>
      <c r="C33" s="1106" t="str">
        <f>template_label_gender_diversity_ratio_in_governance_body</f>
        <v>Diversità di genere nell'organo di governance</v>
      </c>
      <c r="D33" s="1107"/>
      <c r="E33" s="1107"/>
      <c r="F33" s="1107"/>
      <c r="G33" s="1107"/>
      <c r="H33" s="281">
        <f>IF(AND(H31&lt;&gt;"",H32&lt;&gt;""),IF(OR(H31=0,H32=0),0,H31/H32),"-")</f>
        <v>2.5</v>
      </c>
      <c r="I33" s="15"/>
    </row>
    <row r="34" spans="1:9" s="10" customFormat="1" x14ac:dyDescent="0.3">
      <c r="I34" s="15"/>
    </row>
    <row r="35" spans="1:9" s="10" customFormat="1" x14ac:dyDescent="0.3">
      <c r="I35" s="15"/>
    </row>
    <row r="36" spans="1:9" s="10" customFormat="1" x14ac:dyDescent="0.3">
      <c r="C36" s="671" t="str">
        <f>template_label_disclosure_of_any_other_governance_and_or_entity_specific_governance_disclosures&amp;" "&amp;template_label_from&amp;" "&amp;template_starting_date_display&amp;" "&amp;template_label_to&amp;" "&amp;template_ending_date_display&amp;" " &amp; template_label_may</f>
        <v>Comunicazione di qualsiasi altra informativa sulla governance e/o informativa specifica per soggetto da 2024-01-01 a 2024-12-31 [Facoltà (facoltativo)]</v>
      </c>
      <c r="D36" s="672"/>
      <c r="E36" s="672"/>
      <c r="F36" s="672"/>
      <c r="G36" s="672"/>
      <c r="H36" s="673"/>
      <c r="I36" s="15"/>
    </row>
    <row r="37" spans="1:9" s="10" customFormat="1" x14ac:dyDescent="0.3">
      <c r="C37" s="1115">
        <v>10</v>
      </c>
      <c r="D37" s="1116"/>
      <c r="E37" s="1116"/>
      <c r="F37" s="1116"/>
      <c r="G37" s="1116"/>
      <c r="H37" s="1117"/>
      <c r="I37" s="15"/>
    </row>
    <row r="38" spans="1:9" s="10" customFormat="1" ht="15" thickBot="1" x14ac:dyDescent="0.35">
      <c r="C38" s="666"/>
      <c r="D38" s="667"/>
      <c r="E38" s="667"/>
      <c r="F38" s="667"/>
      <c r="G38" s="667"/>
      <c r="H38" s="1097"/>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66" priority="7">
      <formula>$H$5=TRUE</formula>
    </cfRule>
  </conditionalFormatting>
  <conditionalFormatting sqref="H12:H16">
    <cfRule type="expression" dxfId="65" priority="6">
      <formula>$H$10=TRUE</formula>
    </cfRule>
  </conditionalFormatting>
  <conditionalFormatting sqref="H18">
    <cfRule type="expression" dxfId="64" priority="5">
      <formula>$H$10=TRUE</formula>
    </cfRule>
  </conditionalFormatting>
  <conditionalFormatting sqref="H31:H32">
    <cfRule type="expression" dxfId="63" priority="4">
      <formula>$H$30=TRUE</formula>
    </cfRule>
  </conditionalFormatting>
  <conditionalFormatting sqref="I6:I7">
    <cfRule type="expression" dxfId="62" priority="3">
      <formula>$I6=template_label_missing_value</formula>
    </cfRule>
    <cfRule type="expression" dxfId="61" priority="25">
      <formula>$I6=template_label_ok</formula>
    </cfRule>
  </conditionalFormatting>
  <conditionalFormatting sqref="I12:I18">
    <cfRule type="expression" dxfId="60" priority="1">
      <formula>$I$12=template_label_missing_value</formula>
    </cfRule>
    <cfRule type="expression" dxfId="59" priority="11">
      <formula>$I$12=template_label_value_inconsistency</formula>
    </cfRule>
    <cfRule type="expression" dxfId="58" priority="12">
      <formula>$I$12=template_label_ok</formula>
    </cfRule>
  </conditionalFormatting>
  <conditionalFormatting sqref="I22">
    <cfRule type="expression" dxfId="57" priority="8">
      <formula>$I$22=template_label_ok</formula>
    </cfRule>
    <cfRule type="expression" dxfId="56" priority="9">
      <formula>$I$22=template_label_missing_value</formula>
    </cfRule>
  </conditionalFormatting>
  <conditionalFormatting sqref="I27">
    <cfRule type="expression" dxfId="55" priority="18">
      <formula>$I$27="OK"</formula>
    </cfRule>
  </conditionalFormatting>
  <conditionalFormatting sqref="I30:I32">
    <cfRule type="expression" dxfId="54" priority="17">
      <formula>$I30=template_label_ok</formula>
    </cfRule>
  </conditionalFormatting>
  <conditionalFormatting sqref="I31:I32">
    <cfRule type="expression" dxfId="53" priority="2">
      <formula>$I31=template_label_missing_value</formula>
    </cfRule>
  </conditionalFormatting>
  <conditionalFormatting sqref="I38">
    <cfRule type="expression" dxfId="52"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54" width="0" style="10" hidden="1" customWidth="1"/>
    <col min="55" max="16384" width="9.33203125" style="10"/>
  </cols>
  <sheetData>
    <row r="1" spans="1:53" ht="28.5" customHeight="1" thickTop="1" thickBot="1" x14ac:dyDescent="0.45">
      <c r="A1" s="395" t="str">
        <f>template_label_fuel_converter</f>
        <v>CONVERTITORE DI COMBUSTIBILE</v>
      </c>
      <c r="B1" s="10"/>
      <c r="AL1" s="10"/>
      <c r="AN1" s="10"/>
      <c r="AO1" s="10"/>
      <c r="AP1" s="10"/>
    </row>
    <row r="2" spans="1:53" ht="39.450000000000003" customHeight="1" thickTop="1" x14ac:dyDescent="0.4">
      <c r="A2" s="439" t="str">
        <f>template_label_disclaimer</f>
        <v>AVVERTENZA:</v>
      </c>
      <c r="B2" s="10"/>
      <c r="AL2" s="10"/>
      <c r="AN2" s="10"/>
      <c r="AO2" s="10"/>
      <c r="AP2" s="10"/>
    </row>
    <row r="3" spans="1:53" ht="54" customHeight="1" x14ac:dyDescent="0.4">
      <c r="A3" s="1158" t="str">
        <f>template_label_this_converter_is_intended_solely_to_illustrate_how_energy_consumption_in_mwh</f>
        <v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v>
      </c>
      <c r="B3" s="1158"/>
      <c r="C3" s="1158"/>
      <c r="D3" s="1158"/>
      <c r="E3" s="1158"/>
      <c r="F3" s="1158"/>
      <c r="G3" s="1158"/>
      <c r="H3" s="1158"/>
      <c r="I3" s="1158"/>
      <c r="J3" s="1158"/>
      <c r="K3" s="1158"/>
      <c r="AL3" s="10"/>
      <c r="AN3" s="10"/>
      <c r="AO3" s="10"/>
      <c r="AP3" s="10"/>
    </row>
    <row r="4" spans="1:53" ht="44.55" customHeight="1" x14ac:dyDescent="0.4">
      <c r="A4" s="1158" t="str">
        <f>template_label_please_note_that_the_typical_values_for_net_calorific_value_and_density_are_provided_for_each_fuel_type</f>
        <v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v>
      </c>
      <c r="B4" s="1158"/>
      <c r="C4" s="1158"/>
      <c r="D4" s="1158"/>
      <c r="E4" s="1158"/>
      <c r="F4" s="1158"/>
      <c r="G4" s="1158"/>
      <c r="H4" s="1158"/>
      <c r="I4" s="1158"/>
      <c r="J4" s="1158"/>
      <c r="K4" s="1158"/>
      <c r="AL4" s="10"/>
      <c r="AN4" s="10"/>
      <c r="AO4" s="10"/>
      <c r="AP4" s="10"/>
    </row>
    <row r="5" spans="1:53" ht="48.45" customHeight="1" thickBot="1" x14ac:dyDescent="0.45">
      <c r="A5" s="1158" t="str">
        <f>template_label_additionally_users_are_encouraged_to_determine_the_renewability_status_of_each_fuel_based_on_guarantees_of_origin</f>
        <v>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v>
      </c>
      <c r="B5" s="1158"/>
      <c r="C5" s="1158"/>
      <c r="D5" s="1158"/>
      <c r="E5" s="1158"/>
      <c r="F5" s="1158"/>
      <c r="G5" s="1158"/>
      <c r="H5" s="1158"/>
      <c r="I5" s="1158"/>
      <c r="J5" s="1158"/>
      <c r="K5" s="1158"/>
      <c r="AL5" s="10"/>
      <c r="AN5" s="10"/>
      <c r="AO5" s="10"/>
      <c r="AP5" s="10"/>
    </row>
    <row r="6" spans="1:53" ht="35.4" customHeight="1" thickBot="1" x14ac:dyDescent="0.35">
      <c r="A6" s="398"/>
      <c r="B6" s="1177" t="str">
        <f>template_label_indicates_that_the_cell_should_be_filled_either_by_selecting_a_value_from_the_dropdown</f>
        <v>Indica che la cella deve essere compilata selezionando un valore dal menu a tendina (ad esempio Tipo di carburante o Unità di misura) oppure inserendo un importo.</v>
      </c>
      <c r="C6" s="1178"/>
      <c r="D6" s="1178"/>
      <c r="E6" s="1178"/>
      <c r="F6" s="1179"/>
      <c r="G6" s="399"/>
      <c r="H6" s="397"/>
      <c r="I6" s="397"/>
      <c r="J6" s="397"/>
      <c r="AL6" s="10"/>
      <c r="AN6" s="10"/>
      <c r="AO6" s="10"/>
      <c r="AP6" s="10"/>
    </row>
    <row r="7" spans="1:53" ht="44.4" customHeight="1" thickBot="1" x14ac:dyDescent="0.35">
      <c r="A7" s="400" t="s">
        <v>3539</v>
      </c>
      <c r="B7" s="1177" t="str">
        <f>template_label_indicates_that_the_cell_is_automatically_calculated_and_that_no_data_entry_is_required</f>
        <v>Indica che la cella è calcolata automaticamente e che non è richiesta alcuna immissione di dati.</v>
      </c>
      <c r="C7" s="1178"/>
      <c r="D7" s="1178"/>
      <c r="E7" s="1178"/>
      <c r="F7" s="1179"/>
      <c r="G7" s="399"/>
      <c r="H7" s="397"/>
      <c r="I7" s="397"/>
      <c r="J7" s="397"/>
      <c r="AL7" s="10"/>
      <c r="AN7" s="10"/>
      <c r="AO7" s="10"/>
      <c r="AP7" s="10"/>
    </row>
    <row r="8" spans="1:53" ht="40.200000000000003" customHeight="1" thickBot="1" x14ac:dyDescent="0.35">
      <c r="A8" s="396"/>
      <c r="B8" s="10"/>
      <c r="AC8" s="401"/>
      <c r="AL8" s="10"/>
      <c r="AN8" s="10"/>
      <c r="AO8" s="10"/>
      <c r="AP8" s="10"/>
    </row>
    <row r="9" spans="1:53" ht="15" thickBot="1" x14ac:dyDescent="0.35">
      <c r="A9" s="402" t="str">
        <f>template_label_fuel_type</f>
        <v>Tipo di combustibile</v>
      </c>
      <c r="B9" s="402" t="str">
        <f>template_label_unit_of_measurement</f>
        <v>Unità di misura</v>
      </c>
      <c r="C9" s="403" t="str">
        <f>template_label_amount</f>
        <v>Importo</v>
      </c>
      <c r="D9" s="403" t="str">
        <f>template_label_state_of_matter</f>
        <v>Stato della materia</v>
      </c>
      <c r="E9" s="404" t="str">
        <f>template_label_typical_renewable_state</f>
        <v>Stato tipico delle energie rinnovabili</v>
      </c>
      <c r="F9" s="404" t="str">
        <f>template_label_calculated_energy_in_mwh</f>
        <v>Energia calcolata in MWh</v>
      </c>
      <c r="I9" s="396" t="str">
        <f>template_label_usage_of_fuel_converter</f>
        <v>Utilizzo del convertitore di combustibile:</v>
      </c>
      <c r="O9" s="484"/>
      <c r="P9" s="485"/>
      <c r="Q9" s="486"/>
      <c r="S9" s="484"/>
      <c r="T9" s="485"/>
      <c r="U9" s="486"/>
      <c r="W9" s="484"/>
      <c r="X9" s="485"/>
      <c r="Y9" s="486"/>
      <c r="AA9" s="484"/>
      <c r="AB9" s="485"/>
      <c r="AC9" s="486"/>
      <c r="AE9" s="484"/>
      <c r="AF9" s="485"/>
      <c r="AG9" s="486"/>
      <c r="AI9" s="484"/>
      <c r="AJ9" s="485"/>
      <c r="AK9" s="486"/>
      <c r="AL9" s="10"/>
      <c r="AM9" s="484"/>
      <c r="AN9" s="485"/>
      <c r="AO9" s="486"/>
      <c r="AP9" s="10"/>
      <c r="AQ9" s="484"/>
      <c r="AR9" s="485"/>
      <c r="AS9" s="486"/>
      <c r="AU9" s="484"/>
      <c r="AV9" s="485"/>
      <c r="AW9" s="486"/>
      <c r="AY9" s="484"/>
      <c r="AZ9" s="485"/>
      <c r="BA9" s="486"/>
    </row>
    <row r="10" spans="1:53" ht="15" thickBot="1" x14ac:dyDescent="0.35">
      <c r="A10" s="393"/>
      <c r="B10" s="393"/>
      <c r="C10" s="394"/>
      <c r="D10" s="405" t="str">
        <f>P11</f>
        <v>-</v>
      </c>
      <c r="E10" s="406" t="str">
        <f>P12</f>
        <v>-</v>
      </c>
      <c r="F10" s="407" t="str">
        <f>IF(C10="","-",O23)</f>
        <v>-</v>
      </c>
      <c r="G10" s="408"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 xml:space="preserve">1. Nella cella A9 selezionare il Combustibile utilizzato, cercandolo o scorrendo l'elenco visualizzato e cliccando sulla cella
</v>
      </c>
      <c r="O10" s="409" t="s">
        <v>2926</v>
      </c>
      <c r="P10" s="487" t="str">
        <f>IF(A10="","-",A10)</f>
        <v>-</v>
      </c>
      <c r="Q10" s="488"/>
      <c r="S10" s="409" t="s">
        <v>2926</v>
      </c>
      <c r="T10" s="487" t="str">
        <f>IF(A11="","-",A11)</f>
        <v>-</v>
      </c>
      <c r="U10" s="488"/>
      <c r="W10" s="409" t="s">
        <v>2926</v>
      </c>
      <c r="X10" s="487" t="str">
        <f>IF(A12="","-",A12)</f>
        <v>-</v>
      </c>
      <c r="Y10" s="488"/>
      <c r="AA10" s="409" t="s">
        <v>2926</v>
      </c>
      <c r="AB10" s="487" t="str">
        <f>IF(A13="","-",A13)</f>
        <v>-</v>
      </c>
      <c r="AC10" s="488"/>
      <c r="AE10" s="409" t="s">
        <v>2926</v>
      </c>
      <c r="AF10" s="487" t="str">
        <f>IF(A14="","-",A14)</f>
        <v>-</v>
      </c>
      <c r="AG10" s="488"/>
      <c r="AI10" s="409" t="s">
        <v>2926</v>
      </c>
      <c r="AJ10" s="487" t="str">
        <f>IF(A15="","-",A15)</f>
        <v>-</v>
      </c>
      <c r="AK10" s="488"/>
      <c r="AL10" s="10"/>
      <c r="AM10" s="409" t="s">
        <v>2926</v>
      </c>
      <c r="AN10" s="487" t="str">
        <f>IF(A16="","-",A16)</f>
        <v>-</v>
      </c>
      <c r="AO10" s="488"/>
      <c r="AP10" s="10"/>
      <c r="AQ10" s="409" t="s">
        <v>2926</v>
      </c>
      <c r="AR10" s="487" t="str">
        <f>IF(A17="","-",A17)</f>
        <v>-</v>
      </c>
      <c r="AS10" s="488"/>
      <c r="AU10" s="409" t="s">
        <v>2926</v>
      </c>
      <c r="AV10" s="487" t="str">
        <f>IF(A18="","-",A18)</f>
        <v>-</v>
      </c>
      <c r="AW10" s="488"/>
      <c r="AY10" s="409" t="s">
        <v>2926</v>
      </c>
      <c r="AZ10" s="487" t="str">
        <f>IF(A19="","-",A19)</f>
        <v>-</v>
      </c>
      <c r="BA10" s="488"/>
    </row>
    <row r="11" spans="1:53" ht="15" thickBot="1" x14ac:dyDescent="0.35">
      <c r="A11" s="393"/>
      <c r="B11" s="393"/>
      <c r="C11" s="394"/>
      <c r="D11" s="410" t="str">
        <f>T11</f>
        <v>-</v>
      </c>
      <c r="E11" s="411" t="str">
        <f>T12</f>
        <v>-</v>
      </c>
      <c r="F11" s="406" t="str">
        <f>IF(C11="","-",S23)</f>
        <v>-</v>
      </c>
      <c r="G11" s="408" t="str">
        <f t="shared" si="0"/>
        <v/>
      </c>
      <c r="I11" s="10" t="str">
        <f>template_label_2_in_cell_b9_select_the_unit_of_measurement_used</f>
        <v>2. Nella cella B9 selezionare l'unità di misura utilizzata</v>
      </c>
      <c r="O11" s="409" t="s">
        <v>3019</v>
      </c>
      <c r="P11" s="489" t="str">
        <f>IF(OR(P10="", P10="-"), "-", IFERROR(IF(INDEX('Fuel Conversion Parameters'!$B$2:$B$61, MATCH(P10, 'Fuel Conversion Parameters'!$A$2:$A$61, 0))="", "MISSING VALUE", INDEX('Fuel Conversion Parameters'!$B$2:$B$61, MATCH(P10, 'Fuel Conversion Parameters'!$A$2:$A$61, 0))), "MISSING VALUE"))</f>
        <v>-</v>
      </c>
      <c r="Q11" s="488"/>
      <c r="S11" s="409" t="s">
        <v>3019</v>
      </c>
      <c r="T11" s="489" t="str">
        <f>IF(OR(T10="", T10="-"), "-", IFERROR(IF(INDEX('Fuel Conversion Parameters'!$B$2:$B$61, MATCH(T10, 'Fuel Conversion Parameters'!$A$2:$A$61, 0))="", "MISSING VALUE", INDEX('Fuel Conversion Parameters'!$B$2:$B$61, MATCH(T10, 'Fuel Conversion Parameters'!$A$2:$A$61, 0))), "MISSING VALUE"))</f>
        <v>-</v>
      </c>
      <c r="U11" s="488"/>
      <c r="W11" s="409" t="s">
        <v>3019</v>
      </c>
      <c r="X11" s="489" t="str">
        <f>IF(OR(X10="", X10="-"), "-", IFERROR(IF(INDEX('Fuel Conversion Parameters'!$B$2:$B$61, MATCH(X10, 'Fuel Conversion Parameters'!$A$2:$A$61, 0))="", "MISSING VALUE", INDEX('Fuel Conversion Parameters'!$B$2:$B$61, MATCH(X10, 'Fuel Conversion Parameters'!$A$2:$A$61, 0))), "MISSING VALUE"))</f>
        <v>-</v>
      </c>
      <c r="Y11" s="488"/>
      <c r="AA11" s="409" t="s">
        <v>3019</v>
      </c>
      <c r="AB11" s="489" t="str">
        <f>IF(OR(AB10="", AB10="-"), "-", IFERROR(IF(INDEX('Fuel Conversion Parameters'!$B$2:$B$61, MATCH(AB10, 'Fuel Conversion Parameters'!$A$2:$A$61, 0))="", "MISSING VALUE", INDEX('Fuel Conversion Parameters'!$B$2:$B$61, MATCH(AB10, 'Fuel Conversion Parameters'!$A$2:$A$61, 0))), "MISSING VALUE"))</f>
        <v>-</v>
      </c>
      <c r="AC11" s="488"/>
      <c r="AE11" s="409" t="s">
        <v>3019</v>
      </c>
      <c r="AF11" s="489" t="str">
        <f>IF(OR(AF10="", AF10="-"), "-", IFERROR(IF(INDEX('Fuel Conversion Parameters'!$B$2:$B$61, MATCH(AF10, 'Fuel Conversion Parameters'!$A$2:$A$61, 0))="", "MISSING VALUE", INDEX('Fuel Conversion Parameters'!$B$2:$B$61, MATCH(AF10, 'Fuel Conversion Parameters'!$A$2:$A$61, 0))), "MISSING VALUE"))</f>
        <v>-</v>
      </c>
      <c r="AG11" s="488"/>
      <c r="AI11" s="409" t="s">
        <v>3019</v>
      </c>
      <c r="AJ11" s="489" t="str">
        <f>IF(OR(AJ10="", AJ10="-"), "-", IFERROR(IF(INDEX('Fuel Conversion Parameters'!$B$2:$B$61, MATCH(AJ10, 'Fuel Conversion Parameters'!$A$2:$A$61, 0))="", "MISSING VALUE", INDEX('Fuel Conversion Parameters'!$B$2:$B$61, MATCH(AJ10, 'Fuel Conversion Parameters'!$A$2:$A$61, 0))), "MISSING VALUE"))</f>
        <v>-</v>
      </c>
      <c r="AK11" s="488"/>
      <c r="AL11" s="10"/>
      <c r="AM11" s="409" t="s">
        <v>3019</v>
      </c>
      <c r="AN11" s="489" t="str">
        <f>IF(OR(AN10="", AN10="-"), "-", IFERROR(IF(INDEX('Fuel Conversion Parameters'!$B$2:$B$61, MATCH(AN10, 'Fuel Conversion Parameters'!$A$2:$A$61, 0))="", "MISSING VALUE", INDEX('Fuel Conversion Parameters'!$B$2:$B$61, MATCH(AN10, 'Fuel Conversion Parameters'!$A$2:$A$61, 0))), "MISSING VALUE"))</f>
        <v>-</v>
      </c>
      <c r="AO11" s="488"/>
      <c r="AP11" s="10"/>
      <c r="AQ11" s="409" t="s">
        <v>3019</v>
      </c>
      <c r="AR11" s="489" t="str">
        <f>IF(OR(AR10="", AR10="-"), "-", IFERROR(IF(INDEX('Fuel Conversion Parameters'!$B$2:$B$61, MATCH(AR10, 'Fuel Conversion Parameters'!$A$2:$A$61, 0))="", "MISSING VALUE", INDEX('Fuel Conversion Parameters'!$B$2:$B$61, MATCH(AR10, 'Fuel Conversion Parameters'!$A$2:$A$61, 0))), "MISSING VALUE"))</f>
        <v>-</v>
      </c>
      <c r="AS11" s="488"/>
      <c r="AU11" s="409" t="s">
        <v>3019</v>
      </c>
      <c r="AV11" s="489" t="str">
        <f>IF(OR(AV10="", AV10="-"), "-", IFERROR(IF(INDEX('Fuel Conversion Parameters'!$B$2:$B$61, MATCH(AV10, 'Fuel Conversion Parameters'!$A$2:$A$61, 0))="", "MISSING VALUE", INDEX('Fuel Conversion Parameters'!$B$2:$B$61, MATCH(AV10, 'Fuel Conversion Parameters'!$A$2:$A$61, 0))), "MISSING VALUE"))</f>
        <v>-</v>
      </c>
      <c r="AW11" s="488"/>
      <c r="AY11" s="409" t="s">
        <v>3019</v>
      </c>
      <c r="AZ11" s="489" t="str">
        <f>IF(OR(AZ10="", AZ10="-"), "-", IFERROR(IF(INDEX('Fuel Conversion Parameters'!$B$2:$B$61, MATCH(AZ10, 'Fuel Conversion Parameters'!$A$2:$A$61, 0))="", "MISSING VALUE", INDEX('Fuel Conversion Parameters'!$B$2:$B$61, MATCH(AZ10, 'Fuel Conversion Parameters'!$A$2:$A$61, 0))), "MISSING VALUE"))</f>
        <v>-</v>
      </c>
      <c r="BA11" s="488"/>
    </row>
    <row r="12" spans="1:53" ht="15" thickBot="1" x14ac:dyDescent="0.35">
      <c r="A12" s="393"/>
      <c r="B12" s="393"/>
      <c r="C12" s="394"/>
      <c r="D12" s="410" t="str">
        <f>X11</f>
        <v>-</v>
      </c>
      <c r="E12" s="411" t="str">
        <f>X12</f>
        <v>-</v>
      </c>
      <c r="F12" s="406" t="str">
        <f>IF(C12="","-",W23)</f>
        <v>-</v>
      </c>
      <c r="G12" s="408" t="str">
        <f t="shared" si="0"/>
        <v/>
      </c>
      <c r="I12" s="10" t="str">
        <f>template_label_3_in_cell_c9_select_the_amount_of_fuel_used</f>
        <v>3. Nella cella C9 selezionare la Quantità di combustibile utilizzata</v>
      </c>
      <c r="O12" s="409" t="s">
        <v>3577</v>
      </c>
      <c r="P12" s="489" t="str">
        <f>IF(OR(P10="", P10="-"), "-", IFERROR(IF(INDEX('Fuel Conversion Parameters'!$F$2:$F$61, MATCH(P10, 'Fuel Conversion Parameters'!$A$2:$A$61, 0))="", "MISSING VALUE", INDEX('Fuel Conversion Parameters'!$F$2:$F$61, MATCH(P10, 'Fuel Conversion Parameters'!$A$2:$A$61, 0))), "MISSING VALUE"))</f>
        <v>-</v>
      </c>
      <c r="Q12" s="488"/>
      <c r="S12" s="409" t="s">
        <v>3577</v>
      </c>
      <c r="T12" s="489" t="str">
        <f>IF(OR(T10="", T10="-"), "-", IFERROR(IF(INDEX('Fuel Conversion Parameters'!$F$2:$F$61, MATCH(T10, 'Fuel Conversion Parameters'!$A$2:$A$61, 0))="", "MISSING VALUE", INDEX('Fuel Conversion Parameters'!$F$2:$F$61, MATCH(T10, 'Fuel Conversion Parameters'!$A$2:$A$61, 0))), "MISSING VALUE"))</f>
        <v>-</v>
      </c>
      <c r="U12" s="488"/>
      <c r="W12" s="409" t="s">
        <v>3577</v>
      </c>
      <c r="X12" s="489" t="str">
        <f>IF(OR(X10="", X10="-"), "-", IFERROR(IF(INDEX('Fuel Conversion Parameters'!$F$2:$F$61, MATCH(X10, 'Fuel Conversion Parameters'!$A$2:$A$61, 0))="", "MISSING VALUE", INDEX('Fuel Conversion Parameters'!$F$2:$F$61, MATCH(X10, 'Fuel Conversion Parameters'!$A$2:$A$61, 0))), "MISSING VALUE"))</f>
        <v>-</v>
      </c>
      <c r="Y12" s="488"/>
      <c r="AA12" s="409" t="s">
        <v>3577</v>
      </c>
      <c r="AB12" s="489" t="str">
        <f>IF(OR(AB10="", AB10="-"), "-", IFERROR(IF(INDEX('Fuel Conversion Parameters'!$F$2:$F$61, MATCH(AB10, 'Fuel Conversion Parameters'!$A$2:$A$61, 0))="", "MISSING VALUE", INDEX('Fuel Conversion Parameters'!$F$2:$F$61, MATCH(AB10, 'Fuel Conversion Parameters'!$A$2:$A$61, 0))), "MISSING VALUE"))</f>
        <v>-</v>
      </c>
      <c r="AC12" s="488"/>
      <c r="AE12" s="409" t="s">
        <v>3577</v>
      </c>
      <c r="AF12" s="489" t="str">
        <f>IF(OR(AF10="", AF10="-"), "-", IFERROR(IF(INDEX('Fuel Conversion Parameters'!$F$2:$F$61, MATCH(AF10, 'Fuel Conversion Parameters'!$A$2:$A$61, 0))="", "MISSING VALUE", INDEX('Fuel Conversion Parameters'!$F$2:$F$61, MATCH(AF10, 'Fuel Conversion Parameters'!$A$2:$A$61, 0))), "MISSING VALUE"))</f>
        <v>-</v>
      </c>
      <c r="AG12" s="488"/>
      <c r="AI12" s="409" t="s">
        <v>3577</v>
      </c>
      <c r="AJ12" s="489" t="str">
        <f>IF(OR(AJ10="", AJ10="-"), "-", IFERROR(IF(INDEX('Fuel Conversion Parameters'!$F$2:$F$61, MATCH(AJ10, 'Fuel Conversion Parameters'!$A$2:$A$61, 0))="", "MISSING VALUE", INDEX('Fuel Conversion Parameters'!$F$2:$F$61, MATCH(AJ10, 'Fuel Conversion Parameters'!$A$2:$A$61, 0))), "MISSING VALUE"))</f>
        <v>-</v>
      </c>
      <c r="AK12" s="488"/>
      <c r="AL12" s="10"/>
      <c r="AM12" s="409" t="s">
        <v>3577</v>
      </c>
      <c r="AN12" s="489" t="str">
        <f>IF(OR(AN10="", AN10="-"), "-", IFERROR(IF(INDEX('Fuel Conversion Parameters'!$F$2:$F$61, MATCH(AN10, 'Fuel Conversion Parameters'!$A$2:$A$61, 0))="", "MISSING VALUE", INDEX('Fuel Conversion Parameters'!$F$2:$F$61, MATCH(AN10, 'Fuel Conversion Parameters'!$A$2:$A$61, 0))), "MISSING VALUE"))</f>
        <v>-</v>
      </c>
      <c r="AO12" s="488"/>
      <c r="AP12" s="10"/>
      <c r="AQ12" s="409" t="s">
        <v>3577</v>
      </c>
      <c r="AR12" s="489" t="str">
        <f>IF(OR(AR10="", AR10="-"), "-", IFERROR(IF(INDEX('Fuel Conversion Parameters'!$F$2:$F$61, MATCH(AR10, 'Fuel Conversion Parameters'!$A$2:$A$61, 0))="", "MISSING VALUE", INDEX('Fuel Conversion Parameters'!$F$2:$F$61, MATCH(AR10, 'Fuel Conversion Parameters'!$A$2:$A$61, 0))), "MISSING VALUE"))</f>
        <v>-</v>
      </c>
      <c r="AS12" s="488"/>
      <c r="AU12" s="409" t="s">
        <v>3577</v>
      </c>
      <c r="AV12" s="489" t="str">
        <f>IF(OR(AV10="", AV10="-"), "-", IFERROR(IF(INDEX('Fuel Conversion Parameters'!$F$2:$F$61, MATCH(AV10, 'Fuel Conversion Parameters'!$A$2:$A$61, 0))="", "MISSING VALUE", INDEX('Fuel Conversion Parameters'!$F$2:$F$61, MATCH(AV10, 'Fuel Conversion Parameters'!$A$2:$A$61, 0))), "MISSING VALUE"))</f>
        <v>-</v>
      </c>
      <c r="AW12" s="488"/>
      <c r="AY12" s="409" t="s">
        <v>3577</v>
      </c>
      <c r="AZ12" s="489" t="str">
        <f>IF(OR(AZ10="", AZ10="-"), "-", IFERROR(IF(INDEX('Fuel Conversion Parameters'!$F$2:$F$61, MATCH(AZ10, 'Fuel Conversion Parameters'!$A$2:$A$61, 0))="", "MISSING VALUE", INDEX('Fuel Conversion Parameters'!$F$2:$F$61, MATCH(AZ10, 'Fuel Conversion Parameters'!$A$2:$A$61, 0))), "MISSING VALUE"))</f>
        <v>-</v>
      </c>
      <c r="BA12" s="488"/>
    </row>
    <row r="13" spans="1:53" x14ac:dyDescent="0.3">
      <c r="A13" s="393"/>
      <c r="B13" s="393"/>
      <c r="C13" s="394"/>
      <c r="D13" s="410" t="str">
        <f>AB11</f>
        <v>-</v>
      </c>
      <c r="E13" s="411" t="str">
        <f>AB12</f>
        <v>-</v>
      </c>
      <c r="F13" s="406" t="str">
        <f>IF(C13="","-",AA23)</f>
        <v>-</v>
      </c>
      <c r="G13" s="408" t="str">
        <f t="shared" si="0"/>
        <v/>
      </c>
      <c r="I13" s="10" t="str">
        <f>template_label_4_in_cell_d9_it_is_displayed_the_state_of_matter_for_the_fuel_selected</f>
        <v xml:space="preserve">4. Nella cella D9 è visualizzato lo Stato della materia per il Combustibile selezionato
</v>
      </c>
      <c r="O13" s="490"/>
      <c r="P13" s="19"/>
      <c r="Q13" s="488"/>
      <c r="S13" s="490"/>
      <c r="T13" s="19"/>
      <c r="U13" s="488"/>
      <c r="W13" s="490"/>
      <c r="X13" s="19"/>
      <c r="Y13" s="488"/>
      <c r="AA13" s="490"/>
      <c r="AB13" s="19"/>
      <c r="AC13" s="488"/>
      <c r="AE13" s="490"/>
      <c r="AF13" s="19"/>
      <c r="AG13" s="488"/>
      <c r="AI13" s="490"/>
      <c r="AJ13" s="19"/>
      <c r="AK13" s="488"/>
      <c r="AL13" s="10"/>
      <c r="AM13" s="490"/>
      <c r="AN13" s="19"/>
      <c r="AO13" s="488"/>
      <c r="AP13" s="10"/>
      <c r="AQ13" s="490"/>
      <c r="AR13" s="19"/>
      <c r="AS13" s="488"/>
      <c r="AU13" s="490"/>
      <c r="AV13" s="19"/>
      <c r="AW13" s="488"/>
      <c r="AY13" s="490"/>
      <c r="AZ13" s="19"/>
      <c r="BA13" s="488"/>
    </row>
    <row r="14" spans="1:53" x14ac:dyDescent="0.3">
      <c r="A14" s="393"/>
      <c r="B14" s="393"/>
      <c r="C14" s="394"/>
      <c r="D14" s="410" t="str">
        <f>AF11</f>
        <v>-</v>
      </c>
      <c r="E14" s="411" t="str">
        <f>AF12</f>
        <v>-</v>
      </c>
      <c r="F14" s="406" t="str">
        <f>IF(C14="","-",AE23)</f>
        <v>-</v>
      </c>
      <c r="G14" s="408" t="str">
        <f t="shared" si="0"/>
        <v/>
      </c>
      <c r="I14" s="10" t="str">
        <f>template_label_5_in_cell_e9_it_is_displayed_the_typical_renewability_state_for_the_fuel_selected</f>
        <v xml:space="preserve">5. Nella cella E9 è indicato lo stato tipico di rinnovabilità per il Combustibile selezionato
</v>
      </c>
      <c r="O14" s="491"/>
      <c r="Q14" s="488"/>
      <c r="S14" s="491"/>
      <c r="U14" s="488"/>
      <c r="W14" s="491"/>
      <c r="Y14" s="488"/>
      <c r="AA14" s="491"/>
      <c r="AC14" s="488"/>
      <c r="AE14" s="491"/>
      <c r="AG14" s="488"/>
      <c r="AI14" s="491"/>
      <c r="AK14" s="488"/>
      <c r="AL14" s="10"/>
      <c r="AM14" s="491"/>
      <c r="AN14" s="10"/>
      <c r="AO14" s="488"/>
      <c r="AP14" s="10"/>
      <c r="AQ14" s="491"/>
      <c r="AS14" s="488"/>
      <c r="AU14" s="491"/>
      <c r="AW14" s="488"/>
      <c r="AY14" s="491"/>
      <c r="BA14" s="488"/>
    </row>
    <row r="15" spans="1:53" ht="15" thickBot="1" x14ac:dyDescent="0.35">
      <c r="A15" s="393"/>
      <c r="B15" s="393"/>
      <c r="C15" s="394"/>
      <c r="D15" s="410" t="str">
        <f>AJ11</f>
        <v>-</v>
      </c>
      <c r="E15" s="411" t="str">
        <f>AJ12</f>
        <v>-</v>
      </c>
      <c r="F15" s="406" t="str">
        <f>IF(C15="","-",AI23)</f>
        <v>-</v>
      </c>
      <c r="G15" s="408" t="str">
        <f t="shared" si="0"/>
        <v/>
      </c>
      <c r="I15" s="10" t="str">
        <f>template_label_6_in_cell_f9_is_displayed_the_energy_produced_in_mega_watt_hours_by_the_amount_of_fuel_specified</f>
        <v xml:space="preserve">6. Nella cella F9 è visualizzata l'energia prodotta in Megawatt-ora per la quantità di combustibile specificata
</v>
      </c>
      <c r="O15" s="492"/>
      <c r="Q15" s="488"/>
      <c r="S15" s="492"/>
      <c r="U15" s="488"/>
      <c r="W15" s="491"/>
      <c r="Y15" s="488"/>
      <c r="AA15" s="491"/>
      <c r="AC15" s="488"/>
      <c r="AE15" s="491"/>
      <c r="AG15" s="488"/>
      <c r="AI15" s="491"/>
      <c r="AK15" s="488"/>
      <c r="AL15" s="10"/>
      <c r="AM15" s="491"/>
      <c r="AN15" s="10"/>
      <c r="AO15" s="488"/>
      <c r="AP15" s="10"/>
      <c r="AQ15" s="491"/>
      <c r="AS15" s="488"/>
      <c r="AU15" s="491"/>
      <c r="AW15" s="488"/>
      <c r="AY15" s="491"/>
      <c r="BA15" s="488"/>
    </row>
    <row r="16" spans="1:53" ht="15" thickBot="1" x14ac:dyDescent="0.35">
      <c r="A16" s="393"/>
      <c r="B16" s="393"/>
      <c r="C16" s="394"/>
      <c r="D16" s="410" t="str">
        <f>AN11</f>
        <v>-</v>
      </c>
      <c r="E16" s="411" t="str">
        <f>AN12</f>
        <v>-</v>
      </c>
      <c r="F16" s="406" t="str">
        <f>IF(C16="","-",AM23)</f>
        <v>-</v>
      </c>
      <c r="G16" s="408" t="str">
        <f t="shared" si="0"/>
        <v/>
      </c>
      <c r="I16" s="10" t="str">
        <f>template_label_7_in_cell_a28_is_displayed_the_total_energy_in_mega_watt_hours</f>
        <v>7. Nella cella A28 è visualizzato il Consumo totale di energia in Megawatt-ora</v>
      </c>
      <c r="O16" s="493" t="s">
        <v>2756</v>
      </c>
      <c r="P16" s="494">
        <f>B10</f>
        <v>0</v>
      </c>
      <c r="Q16" s="495"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93" t="s">
        <v>2756</v>
      </c>
      <c r="T16" s="494">
        <f>B11</f>
        <v>0</v>
      </c>
      <c r="U16" s="495"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93" t="s">
        <v>2756</v>
      </c>
      <c r="X16" s="494">
        <f>B12</f>
        <v>0</v>
      </c>
      <c r="Y16" s="488"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93" t="s">
        <v>2756</v>
      </c>
      <c r="AB16" s="494">
        <f>B13</f>
        <v>0</v>
      </c>
      <c r="AC16" s="495"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93" t="s">
        <v>2756</v>
      </c>
      <c r="AF16" s="494">
        <f>B14</f>
        <v>0</v>
      </c>
      <c r="AG16" s="495"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93" t="s">
        <v>2756</v>
      </c>
      <c r="AJ16" s="494">
        <f>B15</f>
        <v>0</v>
      </c>
      <c r="AK16" s="495"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93" t="s">
        <v>2756</v>
      </c>
      <c r="AN16" s="494">
        <f>B16</f>
        <v>0</v>
      </c>
      <c r="AO16" s="495"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93" t="s">
        <v>2756</v>
      </c>
      <c r="AR16" s="494">
        <f>B17</f>
        <v>0</v>
      </c>
      <c r="AS16" s="495"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93" t="s">
        <v>2756</v>
      </c>
      <c r="AV16" s="494">
        <f>B18</f>
        <v>0</v>
      </c>
      <c r="AW16" s="495"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93" t="s">
        <v>2756</v>
      </c>
      <c r="AZ16" s="494">
        <f>B19</f>
        <v>0</v>
      </c>
      <c r="BA16" s="495"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0" t="str">
        <f>AR11</f>
        <v>-</v>
      </c>
      <c r="E17" s="411" t="str">
        <f>AR12</f>
        <v>-</v>
      </c>
      <c r="F17" s="406" t="str">
        <f>IF(C17="","-",AQ23)</f>
        <v>-</v>
      </c>
      <c r="G17" s="408" t="str">
        <f t="shared" si="0"/>
        <v/>
      </c>
      <c r="I17" s="10" t="str">
        <f>template_label_8_in_cell_a31_is_displayed_the_total_renewable_energy_in_mega_watt_hours</f>
        <v>8. Nella cella A31 è visualizzato il Totale Energia Rinnovabile in Megawatt-ora</v>
      </c>
      <c r="O17" s="409" t="s">
        <v>3024</v>
      </c>
      <c r="P17" s="496">
        <f>C10</f>
        <v>0</v>
      </c>
      <c r="Q17" s="488"/>
      <c r="S17" s="409" t="s">
        <v>3024</v>
      </c>
      <c r="T17" s="496">
        <f>C11</f>
        <v>0</v>
      </c>
      <c r="U17" s="488"/>
      <c r="W17" s="409" t="s">
        <v>3024</v>
      </c>
      <c r="X17" s="496">
        <f>C12</f>
        <v>0</v>
      </c>
      <c r="Y17" s="488"/>
      <c r="AA17" s="409" t="s">
        <v>3024</v>
      </c>
      <c r="AB17" s="496">
        <f>C13</f>
        <v>0</v>
      </c>
      <c r="AC17" s="488"/>
      <c r="AE17" s="409" t="s">
        <v>3024</v>
      </c>
      <c r="AF17" s="496">
        <f>C14</f>
        <v>0</v>
      </c>
      <c r="AG17" s="488"/>
      <c r="AI17" s="409" t="s">
        <v>3024</v>
      </c>
      <c r="AJ17" s="496">
        <f>C15</f>
        <v>0</v>
      </c>
      <c r="AK17" s="488"/>
      <c r="AL17" s="10"/>
      <c r="AM17" s="409" t="s">
        <v>3024</v>
      </c>
      <c r="AN17" s="496">
        <f>C16</f>
        <v>0</v>
      </c>
      <c r="AO17" s="488"/>
      <c r="AP17" s="10"/>
      <c r="AQ17" s="409" t="s">
        <v>3024</v>
      </c>
      <c r="AR17" s="496">
        <f>C17</f>
        <v>0</v>
      </c>
      <c r="AS17" s="488"/>
      <c r="AU17" s="409" t="s">
        <v>3024</v>
      </c>
      <c r="AV17" s="496">
        <f>C18</f>
        <v>0</v>
      </c>
      <c r="AW17" s="488"/>
      <c r="AY17" s="409" t="s">
        <v>3024</v>
      </c>
      <c r="AZ17" s="496">
        <f>C19</f>
        <v>0</v>
      </c>
      <c r="BA17" s="488"/>
    </row>
    <row r="18" spans="1:53" x14ac:dyDescent="0.3">
      <c r="A18" s="393"/>
      <c r="B18" s="393"/>
      <c r="C18" s="394"/>
      <c r="D18" s="410" t="str">
        <f>AV11</f>
        <v>-</v>
      </c>
      <c r="E18" s="411" t="str">
        <f>AV12</f>
        <v>-</v>
      </c>
      <c r="F18" s="406" t="str">
        <f>IF(C18="","-",AU23)</f>
        <v>-</v>
      </c>
      <c r="G18" s="408" t="str">
        <f t="shared" si="0"/>
        <v/>
      </c>
      <c r="I18" s="10" t="str">
        <f>template_label_9_in_cell_b31_is_displayed_the_total_nonrenewable_energy_in_mega_watt_hours</f>
        <v>9. Nella cella B31 è visualizzato il Totale Energia Non Rinnovabile in Megawatt-ora</v>
      </c>
      <c r="J18" s="412"/>
      <c r="K18" s="412"/>
      <c r="L18" s="412"/>
      <c r="M18" s="412"/>
      <c r="O18" s="491" t="str">
        <f>IFERROR(VLOOKUP(P10, 'Fuel Conversion Parameters'!$A:$C, 3, FALSE), "")</f>
        <v/>
      </c>
      <c r="P18" s="499" t="str">
        <f>IF(P16="g - gram",P17*0.000000001,
IF(P16="Kg - Kilogram",P17*0.000001,
IF(P16="t - tonne",P17*0.001,
IF(P16="Gg - Gigagram",P17*1,
IF(P16="m³ - cubic meters",P17*1000,
IF(P16="L - Liter",P17*1,
""))))))</f>
        <v/>
      </c>
      <c r="Q18" s="488"/>
      <c r="S18" s="491" t="str">
        <f>IFERROR(VLOOKUP(T10, 'Fuel Conversion Parameters'!$A:$C, 3, FALSE), "")</f>
        <v/>
      </c>
      <c r="T18" s="499" t="str">
        <f>IF(T16="g - gram",T17*0.000000001,
IF(T16="Kg - Kilogram",T17*0.000001,
IF(T16="t - tonne",T17*0.001,
IF(T16="Gg - Gigagram",T17*1,
IF(T16="m³ - cubic meters",T17*1000,
IF(T16="L - Liter",T17*1,
""))))))</f>
        <v/>
      </c>
      <c r="U18" s="488"/>
      <c r="W18" s="491" t="str">
        <f>IFERROR(VLOOKUP(X10, 'Fuel Conversion Parameters'!$A:$C, 3, FALSE), "")</f>
        <v/>
      </c>
      <c r="X18" s="499" t="str">
        <f>IF(X16="g - gram",X17*0.000000001,
IF(X16="Kg - Kilogram",X17*0.000001,
IF(X16="t - tonne",X17*0.001,
IF(X16="Gg - Gigagram",X17*1,
IF(X16="m³ - cubic meters",X17*1000,
IF(X16="L - Liter",X17*1,
""))))))</f>
        <v/>
      </c>
      <c r="Y18" s="488"/>
      <c r="AA18" s="491" t="str">
        <f>IFERROR(VLOOKUP(AB10, 'Fuel Conversion Parameters'!$A:$C, 3, FALSE), "")</f>
        <v/>
      </c>
      <c r="AB18" s="499" t="str">
        <f>IF(AB16="g - gram",AB17*0.000000001,
IF(AB16="Kg - Kilogram",AB17*0.000001,
IF(AB16="t - tonne",AB17*0.001,
IF(AB16="Gg - Gigagram",AB17*1,
IF(AB16="m³ - cubic meters",AB17*1000,
IF(AB16="L - Liter",AB17*1,
""))))))</f>
        <v/>
      </c>
      <c r="AC18" s="488"/>
      <c r="AE18" s="491" t="str">
        <f>IFERROR(VLOOKUP(AF10, 'Fuel Conversion Parameters'!$A:$C, 3, FALSE), "")</f>
        <v/>
      </c>
      <c r="AF18" s="499" t="str">
        <f>IF(AF16="g - gram",AF17*0.000000001,
IF(AF16="Kg - Kilogram",AF17*0.000001,
IF(AF16="t - tonne",AF17*0.001,
IF(AF16="Gg - Gigagram",AF17*1,
IF(AF16="m³ - cubic meters",AF17*1000,
IF(AF16="L - Liter",AF17*1,
""))))))</f>
        <v/>
      </c>
      <c r="AG18" s="488"/>
      <c r="AI18" s="491" t="str">
        <f>IFERROR(VLOOKUP(AJ10, 'Fuel Conversion Parameters'!$A:$C, 3, FALSE), "")</f>
        <v/>
      </c>
      <c r="AJ18" s="499" t="str">
        <f>IF(AJ16="g - gram",AJ17*0.000000001,
IF(AJ16="Kg - Kilogram",AJ17*0.000001,
IF(AJ16="t - tonne",AJ17*0.001,
IF(AJ16="Gg - Gigagram",AJ17*1,
IF(AJ16="m³ - cubic meters",AJ17*1000,
IF(AJ16="L - Liter",AJ17*1,
""))))))</f>
        <v/>
      </c>
      <c r="AK18" s="488"/>
      <c r="AL18" s="10"/>
      <c r="AM18" s="491" t="str">
        <f>IFERROR(VLOOKUP(AN10, 'Fuel Conversion Parameters'!$A:$C, 3, FALSE), "")</f>
        <v/>
      </c>
      <c r="AN18" s="499" t="str">
        <f>IF(AN16="g - gram",AN17*0.000000001,
IF(AN16="Kg - Kilogram",AN17*0.000001,
IF(AN16="t - tonne",AN17*0.001,
IF(AN16="Gg - Gigagram",AN17*1,
IF(AN16="m³ - cubic meters",AN17*1000,
IF(AN16="L - Liter",AN17*1,
""))))))</f>
        <v/>
      </c>
      <c r="AO18" s="488"/>
      <c r="AP18" s="10"/>
      <c r="AQ18" s="502" t="str">
        <f>IFERROR(VLOOKUP(AR10, 'Fuel Conversion Parameters'!$A:$C, 3, FALSE), "")</f>
        <v/>
      </c>
      <c r="AR18" s="499" t="str">
        <f>IF(AR16="g - gram",AR17*0.000000001,
IF(AR16="Kg - Kilogram",AR17*0.000001,
IF(AR16="t - tonne",AR17*0.001,
IF(AR16="Gg - Gigagram",AR17*1,
IF(AR16="m³ - cubic meters",AR17*1000,
IF(AR16="L - Liter",AR17*1,
""))))))</f>
        <v/>
      </c>
      <c r="AS18" s="488"/>
      <c r="AU18" s="491" t="str">
        <f>IFERROR(VLOOKUP(AV10, 'Fuel Conversion Parameters'!$A:$C, 3, FALSE), "")</f>
        <v/>
      </c>
      <c r="AV18" s="499" t="str">
        <f>IF(AV16="g - gram",AV17*0.000000001,
IF(AV16="Kg - Kilogram",AV17*0.000001,
IF(AV16="t - tonne",AV17*0.001,
IF(AV16="Gg - Gigagram",AV17*1,
IF(AV16="m³ - cubic meters",AV17*1000,
IF(AV16="L - Liter",AV17*1,
""))))))</f>
        <v/>
      </c>
      <c r="AW18" s="488"/>
      <c r="AY18" s="491" t="str">
        <f>IFERROR(VLOOKUP(AZ10, 'Fuel Conversion Parameters'!$A:$C, 3, FALSE), "")</f>
        <v/>
      </c>
      <c r="AZ18" s="499" t="str">
        <f>IF(AZ16="g - gram",AZ17*0.000000001,
IF(AZ16="Kg - Kilogram",AZ17*0.000001,
IF(AZ16="t - tonne",AZ17*0.001,
IF(AZ16="Gg - Gigagram",AZ17*1,
IF(AZ16="m³ - cubic meters",AZ17*1000,
IF(AZ16="L - Liter",AZ17*1,
""))))))</f>
        <v/>
      </c>
      <c r="BA18" s="488"/>
    </row>
    <row r="19" spans="1:53" ht="15" thickBot="1" x14ac:dyDescent="0.35">
      <c r="A19" s="504"/>
      <c r="B19" s="504"/>
      <c r="C19" s="505"/>
      <c r="D19" s="413" t="str">
        <f>AZ11</f>
        <v>-</v>
      </c>
      <c r="E19" s="414" t="str">
        <f>AZ12</f>
        <v>-</v>
      </c>
      <c r="F19" s="414" t="str">
        <f>IF(C19="","-",AY23)</f>
        <v>-</v>
      </c>
      <c r="G19" s="408" t="str">
        <f t="shared" si="0"/>
        <v/>
      </c>
      <c r="I19" s="440" t="str">
        <f>template_label_10_further_notes_can_be_found_below</f>
        <v>10. Ulteriori note sono riportate di seguito</v>
      </c>
      <c r="O19" s="491" t="str">
        <f>IFERROR(
    IF(AND(P11="Solid"),P18,
        IF(AND(P11="Liquid"),P18*_xlfn.XLOOKUP(P10,'Fuel Conversion Parameters'!$A$2:$A$51,'Fuel Conversion Parameters'!$D$2:$D$51)*10^(-6),
            IF(AND(P11="Gaseous"),P18*_xlfn.XLOOKUP(P10,'Fuel Conversion Parameters'!$A$2:$A$51,'Fuel Conversion Parameters'!$E$2:$E$51)*10^(-3)*10^(-6),"")
        )
    ),
    ""
)</f>
        <v/>
      </c>
      <c r="P19" s="18"/>
      <c r="Q19" s="488"/>
      <c r="S19" s="491" t="str">
        <f>IFERROR(
    IF(AND(T11="Solid"),T18,
        IF(AND(T11="Liquid"),T18*_xlfn.XLOOKUP(T10,'Fuel Conversion Parameters'!$A$2:$A$61,'Fuel Conversion Parameters'!$D$2:$D$61)*10^(-6),
            IF(AND(T11="Gaseous"),T18*_xlfn.XLOOKUP(T10,'Fuel Conversion Parameters'!$A$2:$A$61,'Fuel Conversion Parameters'!$E$2:$E$61)*10^(-3)*10^(-6),"")
        )
    ),
    ""
)</f>
        <v/>
      </c>
      <c r="T19" s="18"/>
      <c r="U19" s="488"/>
      <c r="W19" s="491" t="str">
        <f>IFERROR(
    IF(AND(X11="Solid"),X18,
        IF(AND(X11="Liquid"),X18*_xlfn.XLOOKUP(X10,'Fuel Conversion Parameters'!$A$2:$A$61,'Fuel Conversion Parameters'!$D$2:$D$61)*10^(-6),
            IF(AND(X11="Gaseous"),X18*_xlfn.XLOOKUP(X10,'Fuel Conversion Parameters'!$A$2:$A$61,'Fuel Conversion Parameters'!$E$2:$E$61)*10^(-3)*10^(-6),"")
        )
    ),
    ""
)</f>
        <v/>
      </c>
      <c r="X19" s="18"/>
      <c r="Y19" s="488"/>
      <c r="AA19" s="491" t="str">
        <f>IFERROR(
    IF(AND(AB11="Solid"),AB18,
        IF(AND(AB11="Liquid"),AB18*_xlfn.XLOOKUP(AB10,'Fuel Conversion Parameters'!$A$2:$A$61,'Fuel Conversion Parameters'!$D$2:$D$61)*10^(-6),
            IF(AND(AB11="Gaseous"),AB18*_xlfn.XLOOKUP(AB10,'Fuel Conversion Parameters'!$A$2:$A$61,'Fuel Conversion Parameters'!$E$2:$E$61)*10^(-3)*10^(-6),"")
        )
    ),
    ""
)</f>
        <v/>
      </c>
      <c r="AB19" s="18"/>
      <c r="AC19" s="488"/>
      <c r="AE19" s="491" t="str">
        <f>IFERROR(
    IF(AND(AF11="Solid"),AF18,
        IF(AND(AF11="Liquid"),AF18*_xlfn.XLOOKUP(AF10,'Fuel Conversion Parameters'!$A$2:$A$61,'Fuel Conversion Parameters'!$D$2:$D$61)*10^(-6),
            IF(AND(AF11="Gaseous"),AF18*_xlfn.XLOOKUP(AF10,'Fuel Conversion Parameters'!$A$2:$A$61,'Fuel Conversion Parameters'!$E$2:$E$61)*10^(-3)*10^(-6),"")
        )
    ),
    ""
)</f>
        <v/>
      </c>
      <c r="AF19" s="18"/>
      <c r="AG19" s="488"/>
      <c r="AI19" s="491" t="str">
        <f>IFERROR(
    IF(AND(AJ11="Solid"),AJ18,
        IF(AND(AJ11="Liquid"),AJ18*_xlfn.XLOOKUP(AJ10,'Fuel Conversion Parameters'!$A$2:$A$61,'Fuel Conversion Parameters'!$D$2:$D$61)*10^(-6),
            IF(AND(AJ11="Gaseous"),AJ18*_xlfn.XLOOKUP(AJ10,'Fuel Conversion Parameters'!$A$2:$A$61,'Fuel Conversion Parameters'!$E$2:$E$61)*10^(-3)*10^(-6),"")
        )
    ),
    ""
)</f>
        <v/>
      </c>
      <c r="AJ19" s="18"/>
      <c r="AK19" s="488"/>
      <c r="AL19" s="10"/>
      <c r="AM19" s="502" t="str">
        <f>IFERROR(
    IF(AND(AN11="Solid"),AN18,
        IF(AND(AN11="Liquid"),AN18*_xlfn.XLOOKUP(AN10,'Fuel Conversion Parameters'!$A$2:$A$61,'Fuel Conversion Parameters'!$D$2:$D$61)*10^(-6),
            IF(AND(AN11="Gaseous"),AN18*_xlfn.XLOOKUP(AN10,'Fuel Conversion Parameters'!$A$2:$A$61,'Fuel Conversion Parameters'!$E$2:$E$61)*10^(-3)*10^(-6),"")
        )
    ),
    ""
)</f>
        <v/>
      </c>
      <c r="AN19" s="18"/>
      <c r="AO19" s="488"/>
      <c r="AP19" s="10"/>
      <c r="AQ19" s="502" t="str">
        <f>IFERROR(
    IF(AND(AR11="Solid"),AR18,
        IF(AND(AR11="Liquid"),AR18*_xlfn.XLOOKUP(AR10,'Fuel Conversion Parameters'!$A$2:$A$61,'Fuel Conversion Parameters'!$D$2:$D$61)*10^(-6),
            IF(AND(AR11="Gaseous"),AR18*_xlfn.XLOOKUP(AR10,'Fuel Conversion Parameters'!$A$2:$A$61,'Fuel Conversion Parameters'!$E$2:$E$61)*10^(-3)*10^(-6),"")
        )
    ),
    ""
)</f>
        <v/>
      </c>
      <c r="AR19" s="18"/>
      <c r="AS19" s="488"/>
      <c r="AU19" s="491" t="str">
        <f>IFERROR(
    IF(AND(AV11="Solid"),AV18,
        IF(AND(AV11="Liquid"),AV18*_xlfn.XLOOKUP(AV10,'Fuel Conversion Parameters'!$A$2:$A$61,'Fuel Conversion Parameters'!$D$2:$D$61)*10^(-6),
            IF(AND(AV11="Gaseous"),AV18*_xlfn.XLOOKUP(AV10,'Fuel Conversion Parameters'!$A$2:$A$61,'Fuel Conversion Parameters'!$E$2:$E$61)*10^(-3)*10^(-6),"")
        )
    ),
    ""
)</f>
        <v/>
      </c>
      <c r="AV19" s="18"/>
      <c r="AW19" s="488"/>
      <c r="AY19" s="491" t="str">
        <f>IFERROR(
    IF(AND(AZ11="Solid"),AZ18,
        IF(AND(AZ11="Liquid"),AZ18*_xlfn.XLOOKUP(AZ10,'Fuel Conversion Parameters'!$A$2:$A$61,'Fuel Conversion Parameters'!$D$2:$D$61)*10^(-6),
            IF(AND(AZ11="Gaseous"),AZ18*_xlfn.XLOOKUP(AZ10,'Fuel Conversion Parameters'!$A$2:$A$61,'Fuel Conversion Parameters'!$E$2:$E$61)*10^(-3)*10^(-6),"")
        )
    ),
    ""
)</f>
        <v/>
      </c>
      <c r="AZ19" s="18"/>
      <c r="BA19" s="488"/>
    </row>
    <row r="20" spans="1:53" x14ac:dyDescent="0.3">
      <c r="A20" s="10"/>
      <c r="B20" s="10"/>
      <c r="O20" s="500" t="str">
        <f>IFERROR(IF(OR(O19="", O18=""), "", O19*O18), "")</f>
        <v/>
      </c>
      <c r="Q20" s="488"/>
      <c r="S20" s="500" t="str">
        <f>IFERROR(IF(OR(S19="", S18=""), "", S19*S18), "")</f>
        <v/>
      </c>
      <c r="U20" s="488"/>
      <c r="W20" s="500" t="str">
        <f>IFERROR(IF(OR(W19="", W18=""), "", W19*W18), "")</f>
        <v/>
      </c>
      <c r="Y20" s="488"/>
      <c r="AA20" s="500" t="str">
        <f>IFERROR(IF(OR(AA19="", AA18=""), "", AA19*AA18), "")</f>
        <v/>
      </c>
      <c r="AC20" s="488"/>
      <c r="AE20" s="500" t="str">
        <f>IFERROR(IF(OR(AE19="", AE18=""), "", AE19*AE18), "")</f>
        <v/>
      </c>
      <c r="AG20" s="488"/>
      <c r="AI20" s="500" t="str">
        <f>IFERROR(IF(OR(AI19="", AI18=""), "", AI19*AI18), "")</f>
        <v/>
      </c>
      <c r="AK20" s="488"/>
      <c r="AL20" s="10"/>
      <c r="AM20" s="500" t="str">
        <f>IFERROR(IF(OR(AM19="", AM18=""), "", AM19*AM18), "")</f>
        <v/>
      </c>
      <c r="AN20" s="10"/>
      <c r="AO20" s="488"/>
      <c r="AP20" s="10"/>
      <c r="AQ20" s="500" t="str">
        <f>IFERROR(IF(OR(AQ19="", AQ18=""), "", AQ19*AQ18), "")</f>
        <v/>
      </c>
      <c r="AS20" s="488"/>
      <c r="AU20" s="500" t="str">
        <f>IFERROR(IF(OR(AU19="", AU18=""), "", AU19*AU18), "")</f>
        <v/>
      </c>
      <c r="AW20" s="488"/>
      <c r="AY20" s="500" t="str">
        <f>IFERROR(IF(OR(AY19="", AY18=""), "", AY19*AY18), "")</f>
        <v/>
      </c>
      <c r="BA20" s="488"/>
    </row>
    <row r="21" spans="1:53" ht="15" thickBot="1" x14ac:dyDescent="0.35">
      <c r="A21" s="10"/>
      <c r="B21" s="10"/>
      <c r="I21" s="412"/>
      <c r="J21" s="412"/>
      <c r="K21" s="412"/>
      <c r="L21" s="412"/>
      <c r="M21" s="412"/>
      <c r="O21" s="491" t="str">
        <f>IFERROR(O20, "")</f>
        <v/>
      </c>
      <c r="Q21" s="488"/>
      <c r="S21" s="491" t="str">
        <f>IFERROR(S20, "")</f>
        <v/>
      </c>
      <c r="U21" s="488"/>
      <c r="W21" s="501" t="str">
        <f>IFERROR(W20, "")</f>
        <v/>
      </c>
      <c r="Y21" s="488"/>
      <c r="AA21" s="491" t="str">
        <f>IFERROR(AA20, "")</f>
        <v/>
      </c>
      <c r="AC21" s="488"/>
      <c r="AE21" s="491" t="str">
        <f>IFERROR(AE20, "")</f>
        <v/>
      </c>
      <c r="AG21" s="488"/>
      <c r="AI21" s="491" t="str">
        <f>IFERROR(AI20, "")</f>
        <v/>
      </c>
      <c r="AK21" s="488"/>
      <c r="AL21" s="10"/>
      <c r="AM21" s="502" t="str">
        <f>IFERROR(AM20, "")</f>
        <v/>
      </c>
      <c r="AN21" s="10"/>
      <c r="AO21" s="488"/>
      <c r="AP21" s="10"/>
      <c r="AQ21" s="502" t="str">
        <f>IFERROR(AQ20, "")</f>
        <v/>
      </c>
      <c r="AS21" s="488"/>
      <c r="AU21" s="491" t="str">
        <f>IFERROR(AU20, "")</f>
        <v/>
      </c>
      <c r="AW21" s="488"/>
      <c r="AY21" s="491" t="str">
        <f>IFERROR(AY20, "")</f>
        <v/>
      </c>
      <c r="BA21" s="488"/>
    </row>
    <row r="22" spans="1:53" ht="15" thickBot="1" x14ac:dyDescent="0.35">
      <c r="A22" s="10"/>
      <c r="B22" s="10"/>
      <c r="O22" s="409" t="s">
        <v>2927</v>
      </c>
      <c r="P22" s="10" t="str">
        <f>IFERROR(IF(AND(P17&lt;&gt;0,O23=0),"ERROR",""),"")</f>
        <v/>
      </c>
      <c r="Q22" s="488"/>
      <c r="S22" s="409" t="s">
        <v>2927</v>
      </c>
      <c r="T22" s="10" t="str">
        <f>IFERROR(IF(AND(T17&lt;&gt;0,S23=0),"ERROR",""),"")</f>
        <v/>
      </c>
      <c r="U22" s="488"/>
      <c r="W22" s="409" t="s">
        <v>2927</v>
      </c>
      <c r="X22" s="10" t="str">
        <f>IFERROR(IF(AND(X17&lt;&gt;0,W23=0),"ERROR",""),"")</f>
        <v/>
      </c>
      <c r="Y22" s="488"/>
      <c r="AA22" s="409" t="s">
        <v>2927</v>
      </c>
      <c r="AB22" s="10" t="str">
        <f>IFERROR(IF(AND(AB17&lt;&gt;0,AA23=0),"ERROR",""),"")</f>
        <v/>
      </c>
      <c r="AC22" s="488"/>
      <c r="AE22" s="409" t="s">
        <v>2927</v>
      </c>
      <c r="AF22" s="10" t="str">
        <f>IFERROR(IF(AND(AF17&lt;&gt;0,AE23=0),"ERROR",""),"")</f>
        <v/>
      </c>
      <c r="AG22" s="488"/>
      <c r="AI22" s="409" t="s">
        <v>2927</v>
      </c>
      <c r="AJ22" s="10" t="str">
        <f>IFERROR(IF(AND(AJ17&lt;&gt;0,AI23=0),"ERROR",""),"")</f>
        <v/>
      </c>
      <c r="AK22" s="488"/>
      <c r="AL22" s="10"/>
      <c r="AM22" s="409" t="s">
        <v>2927</v>
      </c>
      <c r="AN22" s="10" t="str">
        <f>IFERROR(IF(AND(AN17&lt;&gt;0,AM23=0),"ERROR",""),"")</f>
        <v/>
      </c>
      <c r="AO22" s="488"/>
      <c r="AP22" s="10"/>
      <c r="AQ22" s="409" t="s">
        <v>2927</v>
      </c>
      <c r="AR22" s="10" t="str">
        <f>IFERROR(IF(AND(AR17&lt;&gt;0,AQ23=0),"ERROR",""),"")</f>
        <v/>
      </c>
      <c r="AS22" s="488"/>
      <c r="AU22" s="409" t="s">
        <v>2927</v>
      </c>
      <c r="AV22" s="10" t="str">
        <f>IFERROR(IF(AND(AV17&lt;&gt;0,AU23=0),"ERROR",""),"")</f>
        <v/>
      </c>
      <c r="AW22" s="488"/>
      <c r="AY22" s="409" t="s">
        <v>2927</v>
      </c>
      <c r="AZ22" s="10" t="str">
        <f>IFERROR(IF(AND(AZ17&lt;&gt;0,AY23=0),"ERROR",""),"")</f>
        <v/>
      </c>
      <c r="BA22" s="488"/>
    </row>
    <row r="23" spans="1:53" x14ac:dyDescent="0.3">
      <c r="A23" s="1165" t="str">
        <f>template_label_transfer_the_total_results_to_the_b3_fuel_energy_consumption_reporting_cell</f>
        <v>Trasferire i risultati totali calcolati alla cella di B3 "Consumo di energia da combustibili"</v>
      </c>
      <c r="B23" s="1166"/>
      <c r="C23" s="1167"/>
      <c r="D23" s="1171" t="b">
        <v>1</v>
      </c>
      <c r="E23" s="1172"/>
      <c r="F23" s="1173"/>
      <c r="O23" s="498" t="str">
        <f>IF(OR(
   O21="",
   P17="",
   Q16="Liquid fuel: please change unit of measurement, select one among m³ and L",
   Q16="Gaseous fuel: please change unit of measurement, select one among m³ and L",
   Q16="Solid fuel: please change unit of measurement, select one among Gg, t, Kg and g"
),
"-",
IFERROR(O21*277.778, "")
)</f>
        <v>-</v>
      </c>
      <c r="P23" s="401"/>
      <c r="Q23" s="497"/>
      <c r="S23" s="498" t="str">
        <f>IF(OR(
   S21="",
   T17="",
   U16="Liquid fuel: please change unit of measurement, select one among m³ and L",
   U16="Gaseous fuel: please change unit of measurement, select one among m³ and L",
   U16="Solid fuel: please change unit of measurement, select one among Gg, t, Kg and g"
),
"-",
IFERROR(S21*277.778, "")
)</f>
        <v>-</v>
      </c>
      <c r="T23" s="401"/>
      <c r="U23" s="497"/>
      <c r="W23" s="498" t="str">
        <f>IF(OR(
   W21="",
   X17="",
   Y16="Liquid fuel: please change unit of measurement, select one among m³ and L",
   Y16="Gaseous fuel: please change unit of measurement, select one among m³ and L",
   Y16="Solid fuel: please change unit of measurement, select one among Gg, t, Kg and g"
),
"-",
IFERROR(W21*277.778, "")
)</f>
        <v>-</v>
      </c>
      <c r="X23" s="401"/>
      <c r="Y23" s="497"/>
      <c r="AA23" s="498"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401"/>
      <c r="AC23" s="497"/>
      <c r="AE23" s="498"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401"/>
      <c r="AG23" s="497"/>
      <c r="AI23" s="498"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401"/>
      <c r="AK23" s="497"/>
      <c r="AL23" s="10"/>
      <c r="AM23" s="498"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401"/>
      <c r="AO23" s="497"/>
      <c r="AP23" s="10"/>
      <c r="AQ23" s="498"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401"/>
      <c r="AS23" s="497"/>
      <c r="AU23" s="498"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401"/>
      <c r="AW23" s="497"/>
      <c r="AY23" s="498"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401"/>
      <c r="BA23" s="497"/>
    </row>
    <row r="24" spans="1:53" ht="15" thickBot="1" x14ac:dyDescent="0.35">
      <c r="A24" s="1168"/>
      <c r="B24" s="1169"/>
      <c r="C24" s="1170"/>
      <c r="D24" s="1174"/>
      <c r="E24" s="1175"/>
      <c r="F24" s="1176"/>
      <c r="AL24" s="10"/>
      <c r="AN24" s="10"/>
      <c r="AO24" s="10"/>
      <c r="AP24" s="10"/>
    </row>
    <row r="25" spans="1:53" x14ac:dyDescent="0.3">
      <c r="B25" s="10"/>
      <c r="AL25" s="10"/>
      <c r="AN25" s="10"/>
      <c r="AO25" s="10"/>
      <c r="AP25" s="10"/>
    </row>
    <row r="26" spans="1:53" x14ac:dyDescent="0.3">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thickBot="1" x14ac:dyDescent="0.35">
      <c r="B27" s="10"/>
      <c r="AL27" s="10"/>
      <c r="AN27" s="10"/>
      <c r="AO27" s="10"/>
      <c r="AP27" s="10"/>
    </row>
    <row r="28" spans="1:53" ht="15" thickBot="1" x14ac:dyDescent="0.35">
      <c r="A28" s="1161" t="str">
        <f>template_label_total_energy</f>
        <v>Totale consumo di energia [MWh]</v>
      </c>
      <c r="B28" s="1162"/>
      <c r="AL28" s="10"/>
      <c r="AN28" s="10"/>
      <c r="AO28" s="10"/>
      <c r="AP28" s="10"/>
    </row>
    <row r="29" spans="1:53" ht="15" thickBot="1" x14ac:dyDescent="0.35">
      <c r="A29" s="1163" t="str">
        <f>IFERROR(A32+B32, "-")</f>
        <v>-</v>
      </c>
      <c r="B29" s="1164"/>
      <c r="AL29" s="10"/>
      <c r="AN29" s="10"/>
      <c r="AO29" s="10"/>
      <c r="AP29" s="10"/>
    </row>
    <row r="30" spans="1:53" ht="15" thickBot="1" x14ac:dyDescent="0.35">
      <c r="A30" s="10"/>
      <c r="B30" s="10"/>
      <c r="AL30" s="10"/>
      <c r="AN30" s="10"/>
      <c r="AO30" s="10"/>
    </row>
    <row r="31" spans="1:53" ht="15" thickBot="1" x14ac:dyDescent="0.35">
      <c r="A31" s="409" t="str">
        <f>template_label_total_renewable_energy</f>
        <v>Totale consumo di energia rinnovabile [MWh]</v>
      </c>
      <c r="B31" s="402" t="str">
        <f>template_label_total_nonrenewable_energy</f>
        <v>Totale consumo di energia non rinnovabile [MWh]</v>
      </c>
      <c r="AN31" s="10"/>
      <c r="AO31" s="10"/>
      <c r="AP31" s="10"/>
    </row>
    <row r="32" spans="1:53" ht="15" thickBot="1" x14ac:dyDescent="0.35">
      <c r="A32" s="415" t="str">
        <f>IF(OR(ISBLANK(A10), ISBLANK(B10), ISBLANK(C10)), "-",
    IFERROR(
        IF(COUNTIF(O23:AY23, "-")=10, "-",
            SUMIFS(O23, P12, "Renewable") +
            SUMIFS(S23, T12, "Renewable") +
            SUMIFS(W23, X12, "Renewable") +
            SUMIFS(AA23, AB12, "Renewable") +
            SUMIFS(AE23, AF12, "Renewable") +
            SUMIFS(AI23, AJ12, "Renewable") +
            SUMIFS(AM23, AN12, "Renewable") +
            SUMIFS(AQ23, AR12, "Renewable") +
            SUMIFS(AU23, AV12, "Renewable") +
            SUMIFS(AY23, AZ12, "Renewable")
        ), "-"
    )
)</f>
        <v>-</v>
      </c>
      <c r="B32" s="415" t="str">
        <f>IF(OR(ISBLANK(A10), ISBLANK(B10), ISBLANK(C10)), "-",
    IFERROR(
        IF(COUNTIF(O23:AY23, "-")=10, "-",
            SUMIFS(O23, P12, "Non-renewable") +
            SUMIFS(S23, T12, "Non-renewable") +
            SUMIFS(W23, X12, "Non-renewable") +
            SUMIFS(AA23, AB12, "Non-renewable") +
            SUMIFS(AE23, AF12, "Non-renewable") +
            SUMIFS(AI23, AJ12, "Non-renewable") +
            SUMIFS(AM23, AN12, "Non-renewable") +
            SUMIFS(AQ23, AR12, "Non-renewable") +
            SUMIFS(AU23, AV12, "Non-renewable") +
            SUMIFS(AY23, AZ12, "Non-renewable")
        ), "-"
    )
)</f>
        <v>-</v>
      </c>
      <c r="R32" s="396"/>
      <c r="AL32" s="10"/>
      <c r="AN32" s="10"/>
      <c r="AO32" s="10"/>
      <c r="AP32" s="10"/>
    </row>
    <row r="33" spans="1:42" x14ac:dyDescent="0.3">
      <c r="A33" s="416"/>
      <c r="B33" s="10"/>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6" t="str">
        <f>template_label_further_notes</f>
        <v>Ulteriori note:</v>
      </c>
      <c r="B36" s="10"/>
      <c r="AL36" s="10"/>
      <c r="AN36" s="10"/>
      <c r="AO36" s="10"/>
      <c r="AP36" s="10"/>
    </row>
    <row r="37" spans="1:42" ht="257.39999999999998" customHeight="1" x14ac:dyDescent="0.3">
      <c r="A37" s="969" t="str">
        <f>template_label_the_converter_offers_the_possibility_of_calculating_simultaneously_up_to_10_different_types_of_fuel</f>
        <v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v>
      </c>
      <c r="B37" s="969"/>
      <c r="AL37" s="10"/>
      <c r="AN37" s="10"/>
      <c r="AO37" s="10"/>
      <c r="AP37" s="10"/>
    </row>
    <row r="38" spans="1:42" x14ac:dyDescent="0.3">
      <c r="A38" s="10"/>
      <c r="B38" s="10"/>
      <c r="AL38" s="10"/>
      <c r="AN38" s="10"/>
      <c r="AO38" s="10"/>
      <c r="AP38" s="10"/>
    </row>
    <row r="39" spans="1:42" x14ac:dyDescent="0.3">
      <c r="A39" s="1159" t="str">
        <f>template_label_energy_consumption_per_hour_in_mwh_for_solid_fuels</f>
        <v>Consumo di energia orario in MWh per combustibili solidi:</v>
      </c>
      <c r="B39" s="1159"/>
      <c r="AL39" s="10"/>
      <c r="AN39" s="10"/>
      <c r="AO39" s="10"/>
      <c r="AP39" s="10"/>
    </row>
    <row r="40" spans="1:42" ht="18" x14ac:dyDescent="0.35">
      <c r="A40" s="1160" t="str">
        <f>template_label_energy_solid_fuels</f>
        <v>Energia [MWh] = Massa [t] * PCN [MWh/t]</v>
      </c>
      <c r="B40" s="1160"/>
      <c r="AL40" s="10"/>
      <c r="AN40" s="10"/>
      <c r="AO40" s="10"/>
      <c r="AP40" s="10"/>
    </row>
    <row r="41" spans="1:42" x14ac:dyDescent="0.3">
      <c r="A41" s="1159"/>
      <c r="B41" s="1159"/>
      <c r="AL41" s="10"/>
      <c r="AN41" s="10"/>
      <c r="AO41" s="10"/>
      <c r="AP41" s="10"/>
    </row>
    <row r="42" spans="1:42" x14ac:dyDescent="0.3">
      <c r="A42" s="1159" t="str">
        <f>template_label_energy_consumption_per_hour_in_mwh_for_liquid_fuels</f>
        <v>Consumo di energia orario in MWh per combustibili liquidi:</v>
      </c>
      <c r="B42" s="1159"/>
      <c r="AL42" s="10"/>
      <c r="AN42" s="10"/>
      <c r="AO42" s="10"/>
      <c r="AP42" s="10"/>
    </row>
    <row r="43" spans="1:42" ht="18" x14ac:dyDescent="0.35">
      <c r="A43" s="1160" t="str">
        <f>template_label_mass_liquid_fuels</f>
        <v>Massa [t] = Volume [L] * Densità [t/L]</v>
      </c>
      <c r="B43" s="1160"/>
      <c r="AL43" s="10"/>
      <c r="AN43" s="10"/>
      <c r="AO43" s="10"/>
      <c r="AP43" s="10"/>
    </row>
    <row r="44" spans="1:42" ht="18" x14ac:dyDescent="0.35">
      <c r="A44" s="1160" t="str">
        <f>template_label_energy_liquid_fuels</f>
        <v>Energia [MWh] = Massa [t] * [MWh/t]</v>
      </c>
      <c r="B44" s="1160"/>
      <c r="AL44" s="10"/>
      <c r="AN44" s="10"/>
      <c r="AO44" s="10"/>
      <c r="AP44" s="10"/>
    </row>
    <row r="45" spans="1:42" x14ac:dyDescent="0.3">
      <c r="A45" s="1159"/>
      <c r="B45" s="1159"/>
      <c r="AL45" s="10"/>
      <c r="AN45" s="10"/>
      <c r="AO45" s="10"/>
      <c r="AP45" s="10"/>
    </row>
    <row r="46" spans="1:42" x14ac:dyDescent="0.3">
      <c r="A46" s="1159" t="str">
        <f>template_label_energy_consumption_per_hour_in_mwh_for_gaseous_fuels</f>
        <v>Consumo di energia orario in MWh per gas combustibili:</v>
      </c>
      <c r="B46" s="1159"/>
      <c r="AL46" s="10"/>
      <c r="AN46" s="10"/>
      <c r="AO46" s="10"/>
      <c r="AP46" s="10"/>
    </row>
    <row r="47" spans="1:42" ht="18" x14ac:dyDescent="0.35">
      <c r="A47" s="1160" t="str">
        <f>template_label_mass_gaseous_fuels</f>
        <v>Massa [t] = Volume [m³] * Densità [t/m³]</v>
      </c>
      <c r="B47" s="1160"/>
      <c r="C47" s="435"/>
      <c r="AL47" s="10"/>
      <c r="AN47" s="10"/>
      <c r="AO47" s="10"/>
      <c r="AP47" s="10"/>
    </row>
    <row r="48" spans="1:42" ht="18" x14ac:dyDescent="0.35">
      <c r="A48" s="1160" t="str">
        <f>template_label_energy_gaseous_fuels</f>
        <v>Energia [MWh] = Massa [t] * PCN [MWh/t]</v>
      </c>
      <c r="B48" s="1160"/>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HhVbM0q5s4lOxuXzfvr2uAJAzNVlEMHGHp55gxD8bNTlO3rS/ukPvZCeJs3a2361DnwLe/vXUiZTIaK9Uocs6w==" saltValue="CevaG/RRIIxV7T9NpB5HGg==" spinCount="100000" sheet="1" objects="1" scenarios="1"/>
  <mergeCells count="2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s>
  <conditionalFormatting sqref="A6">
    <cfRule type="expression" dxfId="51" priority="578">
      <formula>OR($P$11="Solid", $P$11="Gas")</formula>
    </cfRule>
  </conditionalFormatting>
  <conditionalFormatting sqref="D10">
    <cfRule type="expression" dxfId="50" priority="10">
      <formula>$D$10="MISSING VALUE"</formula>
    </cfRule>
  </conditionalFormatting>
  <conditionalFormatting sqref="D11">
    <cfRule type="expression" dxfId="49" priority="11">
      <formula>$D$11="MISSING VALUE"</formula>
    </cfRule>
  </conditionalFormatting>
  <conditionalFormatting sqref="D12">
    <cfRule type="expression" dxfId="48" priority="12">
      <formula>$D$12="MISSING VALUE"</formula>
    </cfRule>
  </conditionalFormatting>
  <conditionalFormatting sqref="D13">
    <cfRule type="expression" dxfId="47" priority="13">
      <formula>$D$13="MISSING VALUE"</formula>
    </cfRule>
  </conditionalFormatting>
  <conditionalFormatting sqref="D14">
    <cfRule type="expression" dxfId="46" priority="14">
      <formula>$D$14="MISSING VALUE"</formula>
    </cfRule>
  </conditionalFormatting>
  <conditionalFormatting sqref="D15">
    <cfRule type="expression" dxfId="45" priority="15">
      <formula>$D$15="MISSING VALUE"</formula>
    </cfRule>
  </conditionalFormatting>
  <conditionalFormatting sqref="D16">
    <cfRule type="expression" dxfId="44" priority="16">
      <formula>$D$16="MISSING VALUE"</formula>
    </cfRule>
  </conditionalFormatting>
  <conditionalFormatting sqref="D17">
    <cfRule type="expression" dxfId="43" priority="17">
      <formula>$D$17="MISSING VALUE"</formula>
    </cfRule>
  </conditionalFormatting>
  <conditionalFormatting sqref="D18">
    <cfRule type="expression" dxfId="42" priority="18">
      <formula>$D$18="MISSING VALUE"</formula>
    </cfRule>
  </conditionalFormatting>
  <conditionalFormatting sqref="D19">
    <cfRule type="expression" dxfId="41" priority="20">
      <formula>$D$19="MISSING VALUE"</formula>
    </cfRule>
  </conditionalFormatting>
  <conditionalFormatting sqref="E10">
    <cfRule type="expression" dxfId="40" priority="2">
      <formula>$E$10="MISSING VALUE"</formula>
    </cfRule>
  </conditionalFormatting>
  <conditionalFormatting sqref="E11">
    <cfRule type="expression" dxfId="39" priority="3">
      <formula>$E$11="MISSING VALUE"</formula>
    </cfRule>
  </conditionalFormatting>
  <conditionalFormatting sqref="E12">
    <cfRule type="expression" dxfId="38" priority="4">
      <formula>$E$12="MISSING VALUE"</formula>
    </cfRule>
  </conditionalFormatting>
  <conditionalFormatting sqref="E13">
    <cfRule type="expression" dxfId="37" priority="5">
      <formula>$E$13="MISSING VALUE"</formula>
    </cfRule>
  </conditionalFormatting>
  <conditionalFormatting sqref="E14">
    <cfRule type="expression" dxfId="36" priority="6">
      <formula>$E$14="MISSING VALUE"</formula>
    </cfRule>
  </conditionalFormatting>
  <conditionalFormatting sqref="E15">
    <cfRule type="expression" dxfId="35" priority="7">
      <formula>$E$15="MISSING VALUE"</formula>
    </cfRule>
  </conditionalFormatting>
  <conditionalFormatting sqref="E16">
    <cfRule type="expression" dxfId="34" priority="8">
      <formula>$E$16="MISSING VALUE"</formula>
    </cfRule>
  </conditionalFormatting>
  <conditionalFormatting sqref="E17">
    <cfRule type="expression" dxfId="33" priority="9">
      <formula>$E$17="MISSING VALUE"</formula>
    </cfRule>
  </conditionalFormatting>
  <conditionalFormatting sqref="E18">
    <cfRule type="expression" dxfId="32" priority="1">
      <formula>$E$18="MISSING VALUE"</formula>
    </cfRule>
  </conditionalFormatting>
  <conditionalFormatting sqref="E19">
    <cfRule type="expression" dxfId="31" priority="19">
      <formula>$E$19="MISSING VALUE"</formula>
    </cfRule>
  </conditionalFormatting>
  <conditionalFormatting sqref="G10:G19">
    <cfRule type="expression" dxfId="30" priority="22">
      <formula>$G10=template_label_solid_warning</formula>
    </cfRule>
    <cfRule type="expression" dxfId="29" priority="25">
      <formula>$G10=template_label_gaseous_warning</formula>
    </cfRule>
    <cfRule type="expression" dxfId="28" priority="26">
      <formula>$G10=template_label_liquid_warning</formula>
    </cfRule>
  </conditionalFormatting>
  <conditionalFormatting sqref="P11">
    <cfRule type="expression" dxfId="27" priority="45">
      <formula>$P$11="MISSING VALUE"</formula>
    </cfRule>
  </conditionalFormatting>
  <conditionalFormatting sqref="P12">
    <cfRule type="expression" dxfId="26" priority="155">
      <formula>$P$12="MISSING VALUE"</formula>
    </cfRule>
  </conditionalFormatting>
  <conditionalFormatting sqref="Q16 U16 Y16 AC16 AG16 AK16 AO16 AS16 AW16 BA16">
    <cfRule type="expression" dxfId="25" priority="124">
      <formula>Q$16="Solid fuel: please change unit of measurement, select one among Gg, t, Kg and g"</formula>
    </cfRule>
    <cfRule type="expression" dxfId="24" priority="125">
      <formula>Q$16="Solid fuel: please select one unit of measurement among Gg, t, Kg and g"</formula>
    </cfRule>
    <cfRule type="expression" dxfId="23" priority="126">
      <formula>Q$16="Gaseous fuel: please change unit of measurement, select one among m³ and L"</formula>
    </cfRule>
    <cfRule type="expression" dxfId="22" priority="128">
      <formula>Q$16="Gaseous fuel: please select one unit of measurement among m³ and L"</formula>
    </cfRule>
    <cfRule type="expression" dxfId="21" priority="129">
      <formula>Q$16="Liquid fuel: please select one unit of measurement among m³ and L"</formula>
    </cfRule>
    <cfRule type="expression" dxfId="20" priority="127">
      <formula>Q$16="Liquid fuel: please change unit of measurement, select one among m³ and L"</formula>
    </cfRule>
  </conditionalFormatting>
  <conditionalFormatting sqref="T11">
    <cfRule type="expression" dxfId="19" priority="130">
      <formula>$T$11="MISSING VALUE"</formula>
    </cfRule>
  </conditionalFormatting>
  <conditionalFormatting sqref="T12">
    <cfRule type="expression" dxfId="18" priority="149">
      <formula>$T$12="MISSING VALUE"</formula>
    </cfRule>
  </conditionalFormatting>
  <conditionalFormatting sqref="X11">
    <cfRule type="expression" dxfId="17" priority="42">
      <formula>$T$11="MISSING VALUE"</formula>
    </cfRule>
  </conditionalFormatting>
  <conditionalFormatting sqref="X12">
    <cfRule type="expression" dxfId="16" priority="41">
      <formula>$T$12="MISSING VALUE"</formula>
    </cfRule>
  </conditionalFormatting>
  <conditionalFormatting sqref="AB11">
    <cfRule type="expression" dxfId="15" priority="40">
      <formula>$T$11="MISSING VALUE"</formula>
    </cfRule>
  </conditionalFormatting>
  <conditionalFormatting sqref="AB12">
    <cfRule type="expression" dxfId="14" priority="39">
      <formula>$T$12="MISSING VALUE"</formula>
    </cfRule>
  </conditionalFormatting>
  <conditionalFormatting sqref="AF11">
    <cfRule type="expression" dxfId="13" priority="38">
      <formula>$T$11="MISSING VALUE"</formula>
    </cfRule>
  </conditionalFormatting>
  <conditionalFormatting sqref="AF12">
    <cfRule type="expression" dxfId="12" priority="37">
      <formula>$T$12="MISSING VALUE"</formula>
    </cfRule>
  </conditionalFormatting>
  <conditionalFormatting sqref="AJ11">
    <cfRule type="expression" dxfId="11" priority="36">
      <formula>$T$11="MISSING VALUE"</formula>
    </cfRule>
  </conditionalFormatting>
  <conditionalFormatting sqref="AJ12">
    <cfRule type="expression" dxfId="10" priority="35">
      <formula>$T$12="MISSING VALUE"</formula>
    </cfRule>
  </conditionalFormatting>
  <conditionalFormatting sqref="AN11">
    <cfRule type="expression" dxfId="9" priority="34">
      <formula>$T$11="MISSING VALUE"</formula>
    </cfRule>
  </conditionalFormatting>
  <conditionalFormatting sqref="AN12">
    <cfRule type="expression" dxfId="8" priority="33">
      <formula>$T$12="MISSING VALUE"</formula>
    </cfRule>
  </conditionalFormatting>
  <conditionalFormatting sqref="AR11">
    <cfRule type="expression" dxfId="7" priority="32">
      <formula>$T$11="MISSING VALUE"</formula>
    </cfRule>
  </conditionalFormatting>
  <conditionalFormatting sqref="AR12">
    <cfRule type="expression" dxfId="6" priority="31">
      <formula>$T$12="MISSING VALUE"</formula>
    </cfRule>
  </conditionalFormatting>
  <conditionalFormatting sqref="AV11">
    <cfRule type="expression" dxfId="5" priority="30">
      <formula>$T$11="MISSING VALUE"</formula>
    </cfRule>
  </conditionalFormatting>
  <conditionalFormatting sqref="AV12">
    <cfRule type="expression" dxfId="4" priority="29">
      <formula>$T$12="MISSING VALUE"</formula>
    </cfRule>
  </conditionalFormatting>
  <conditionalFormatting sqref="AZ11">
    <cfRule type="expression" dxfId="3" priority="28">
      <formula>$T$11="MISSING VALUE"</formula>
    </cfRule>
  </conditionalFormatting>
  <conditionalFormatting sqref="AZ12">
    <cfRule type="expression" dxfId="2" priority="27">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204" t="s">
        <v>3583</v>
      </c>
      <c r="B62" s="1205"/>
      <c r="C62" s="1205"/>
      <c r="D62" s="1205"/>
      <c r="E62" s="1205"/>
      <c r="F62" s="1205"/>
      <c r="G62" s="1205"/>
      <c r="H62" s="1205"/>
      <c r="I62" s="1205"/>
      <c r="J62" s="1205"/>
      <c r="K62" s="1205"/>
      <c r="L62" s="1205"/>
      <c r="M62" s="1205"/>
      <c r="N62" s="1205"/>
      <c r="O62" s="1205"/>
      <c r="P62" s="1205"/>
      <c r="Q62" s="1205"/>
      <c r="R62" s="1205"/>
      <c r="S62" s="1205"/>
      <c r="T62" s="1205"/>
      <c r="U62" s="1205"/>
      <c r="V62" s="1205"/>
      <c r="W62" s="1205"/>
      <c r="X62" s="1205"/>
      <c r="Y62" s="1205"/>
      <c r="Z62" s="1205"/>
      <c r="AA62" s="1205"/>
      <c r="AB62" s="1205"/>
      <c r="AC62" s="1205"/>
      <c r="AD62" s="1205"/>
      <c r="AE62" s="1205"/>
      <c r="AF62" s="1205"/>
      <c r="AG62" s="1205"/>
      <c r="AH62" s="1205"/>
      <c r="AI62" s="1205"/>
      <c r="AJ62" s="1205"/>
      <c r="AK62" s="1205"/>
      <c r="AL62" s="1205"/>
      <c r="AM62" s="1205"/>
      <c r="AN62" s="1205"/>
      <c r="AO62" s="1205"/>
      <c r="AP62" s="1205"/>
      <c r="AQ62" s="1205"/>
      <c r="AR62" s="1205"/>
      <c r="AS62" s="1205"/>
      <c r="AT62" s="1205"/>
      <c r="AU62" s="1205"/>
      <c r="AV62" s="1205"/>
      <c r="AW62" s="1205"/>
      <c r="AX62" s="1205"/>
      <c r="AY62" s="1206"/>
    </row>
    <row r="63" spans="1:51" ht="43.95" customHeight="1" x14ac:dyDescent="0.3">
      <c r="A63" s="1207" t="s">
        <v>3616</v>
      </c>
      <c r="B63" s="1208"/>
      <c r="C63" s="1208"/>
      <c r="D63" s="1208"/>
      <c r="E63" s="1208"/>
      <c r="F63" s="1208"/>
      <c r="G63" s="1208"/>
      <c r="H63" s="1208"/>
      <c r="I63" s="1208"/>
      <c r="J63" s="1208"/>
      <c r="K63" s="1208"/>
      <c r="L63" s="1208"/>
      <c r="M63" s="1208"/>
      <c r="N63" s="1208"/>
      <c r="O63" s="1208"/>
      <c r="P63" s="1208"/>
      <c r="Q63" s="1208"/>
      <c r="R63" s="1208"/>
      <c r="S63" s="1208"/>
      <c r="T63" s="1208"/>
      <c r="U63" s="1208"/>
      <c r="V63" s="1208"/>
      <c r="W63" s="1208"/>
      <c r="X63" s="1208"/>
      <c r="Y63" s="1208"/>
      <c r="Z63" s="1208"/>
      <c r="AA63" s="1208"/>
      <c r="AB63" s="1208"/>
      <c r="AC63" s="1208"/>
      <c r="AD63" s="1208"/>
      <c r="AE63" s="1208"/>
      <c r="AF63" s="1208"/>
      <c r="AG63" s="1208"/>
      <c r="AH63" s="1208"/>
      <c r="AI63" s="1208"/>
      <c r="AJ63" s="1208"/>
      <c r="AK63" s="1208"/>
      <c r="AL63" s="1208"/>
      <c r="AM63" s="1208"/>
      <c r="AN63" s="1208"/>
      <c r="AO63" s="1208"/>
      <c r="AP63" s="1208"/>
      <c r="AQ63" s="1208"/>
      <c r="AR63" s="1208"/>
      <c r="AS63" s="1208"/>
      <c r="AT63" s="1208"/>
      <c r="AU63" s="1208"/>
      <c r="AV63" s="1208"/>
      <c r="AW63" s="1208"/>
      <c r="AX63" s="1208"/>
      <c r="AY63" s="1209"/>
    </row>
    <row r="64" spans="1:51" x14ac:dyDescent="0.3">
      <c r="A64" s="1210" t="s">
        <v>3617</v>
      </c>
      <c r="B64" s="1211"/>
      <c r="C64" s="1211"/>
      <c r="D64" s="1211"/>
      <c r="E64" s="1211"/>
      <c r="F64" s="1211"/>
      <c r="G64" s="1211"/>
      <c r="H64" s="1211"/>
      <c r="I64" s="1211"/>
      <c r="J64" s="1211"/>
      <c r="K64" s="1211"/>
      <c r="L64" s="1211"/>
      <c r="M64" s="1211"/>
      <c r="N64" s="1211"/>
      <c r="O64" s="1211"/>
      <c r="P64" s="1211"/>
      <c r="Q64" s="1211"/>
      <c r="R64" s="1211"/>
      <c r="S64" s="1211"/>
      <c r="T64" s="1211"/>
      <c r="U64" s="1211"/>
      <c r="V64" s="1211"/>
      <c r="W64" s="1211"/>
      <c r="X64" s="1211"/>
      <c r="Y64" s="1211"/>
      <c r="Z64" s="1211"/>
      <c r="AA64" s="1211"/>
      <c r="AB64" s="1211"/>
      <c r="AC64" s="1211"/>
      <c r="AD64" s="1211"/>
      <c r="AE64" s="1211"/>
      <c r="AF64" s="1211"/>
      <c r="AG64" s="1211"/>
      <c r="AH64" s="1211"/>
      <c r="AI64" s="1211"/>
      <c r="AJ64" s="1211"/>
      <c r="AK64" s="1211"/>
      <c r="AL64" s="1211"/>
      <c r="AM64" s="1211"/>
      <c r="AN64" s="1211"/>
      <c r="AO64" s="1211"/>
      <c r="AP64" s="1211"/>
      <c r="AQ64" s="1211"/>
      <c r="AR64" s="1211"/>
      <c r="AS64" s="1211"/>
      <c r="AT64" s="1211"/>
      <c r="AU64" s="1211"/>
      <c r="AV64" s="1211"/>
      <c r="AW64" s="1211"/>
      <c r="AX64" s="1211"/>
      <c r="AY64" s="1212"/>
    </row>
    <row r="65" spans="1:51" x14ac:dyDescent="0.3">
      <c r="A65" s="1201" t="s">
        <v>3584</v>
      </c>
      <c r="B65" s="1202"/>
      <c r="C65" s="1202"/>
      <c r="D65" s="1202"/>
      <c r="E65" s="1202"/>
      <c r="F65" s="1202"/>
      <c r="G65" s="1202"/>
      <c r="H65" s="1202"/>
      <c r="I65" s="1202"/>
      <c r="J65" s="1202"/>
      <c r="K65" s="1202"/>
      <c r="L65" s="1202"/>
      <c r="M65" s="1202"/>
      <c r="N65" s="1202"/>
      <c r="O65" s="1202"/>
      <c r="P65" s="1202"/>
      <c r="Q65" s="1202"/>
      <c r="R65" s="1202"/>
      <c r="S65" s="1202"/>
      <c r="T65" s="1202"/>
      <c r="U65" s="1202"/>
      <c r="V65" s="1202"/>
      <c r="W65" s="1202"/>
      <c r="X65" s="1202"/>
      <c r="Y65" s="1202"/>
      <c r="Z65" s="1202"/>
      <c r="AA65" s="1202"/>
      <c r="AB65" s="1202"/>
      <c r="AC65" s="1202"/>
      <c r="AD65" s="1202"/>
      <c r="AE65" s="1202"/>
      <c r="AF65" s="1202"/>
      <c r="AG65" s="1202"/>
      <c r="AH65" s="1202"/>
      <c r="AI65" s="1202"/>
      <c r="AJ65" s="1202"/>
      <c r="AK65" s="1202"/>
      <c r="AL65" s="1202"/>
      <c r="AM65" s="1202"/>
      <c r="AN65" s="1202"/>
      <c r="AO65" s="1202"/>
      <c r="AP65" s="1202"/>
      <c r="AQ65" s="1202"/>
      <c r="AR65" s="1202"/>
      <c r="AS65" s="1202"/>
      <c r="AT65" s="1202"/>
      <c r="AU65" s="1202"/>
      <c r="AV65" s="1202"/>
      <c r="AW65" s="1202"/>
      <c r="AX65" s="1202"/>
      <c r="AY65" s="1203"/>
    </row>
    <row r="66" spans="1:51" x14ac:dyDescent="0.3">
      <c r="A66" s="1180" t="s">
        <v>3618</v>
      </c>
      <c r="B66" s="1181"/>
      <c r="C66" s="1181"/>
      <c r="D66" s="1181"/>
      <c r="E66" s="1181"/>
      <c r="F66" s="1181"/>
      <c r="G66" s="1181"/>
      <c r="H66" s="1181"/>
      <c r="I66" s="1181"/>
      <c r="J66" s="1181"/>
      <c r="K66" s="1181"/>
      <c r="L66" s="1181"/>
      <c r="M66" s="1181"/>
      <c r="N66" s="1181"/>
      <c r="O66" s="1181"/>
      <c r="P66" s="1181"/>
      <c r="Q66" s="1181"/>
      <c r="R66" s="1181"/>
      <c r="S66" s="1181"/>
      <c r="T66" s="1181"/>
      <c r="U66" s="1181"/>
      <c r="V66" s="1181"/>
      <c r="W66" s="1181"/>
      <c r="X66" s="1181"/>
      <c r="Y66" s="1181"/>
      <c r="Z66" s="1181"/>
      <c r="AA66" s="1181"/>
      <c r="AB66" s="1181"/>
      <c r="AC66" s="1181"/>
      <c r="AD66" s="1181"/>
      <c r="AE66" s="1181"/>
      <c r="AF66" s="1181"/>
      <c r="AG66" s="1181"/>
      <c r="AH66" s="1181"/>
      <c r="AI66" s="1181"/>
      <c r="AJ66" s="1181"/>
      <c r="AK66" s="1181"/>
      <c r="AL66" s="1181"/>
      <c r="AM66" s="1181"/>
      <c r="AN66" s="1181"/>
      <c r="AO66" s="1181"/>
      <c r="AP66" s="1181"/>
      <c r="AQ66" s="1181"/>
      <c r="AR66" s="1181"/>
      <c r="AS66" s="1181"/>
      <c r="AT66" s="1181"/>
      <c r="AU66" s="1181"/>
      <c r="AV66" s="1181"/>
      <c r="AW66" s="1181"/>
      <c r="AX66" s="1181"/>
      <c r="AY66" s="1182"/>
    </row>
    <row r="67" spans="1:51" x14ac:dyDescent="0.3">
      <c r="A67" s="1183" t="s">
        <v>3619</v>
      </c>
      <c r="B67" s="1199"/>
      <c r="C67" s="1199"/>
      <c r="D67" s="1199"/>
      <c r="E67" s="1199"/>
      <c r="F67" s="1199"/>
      <c r="G67" s="1199"/>
      <c r="H67" s="1199"/>
      <c r="I67" s="1199"/>
      <c r="J67" s="1199"/>
      <c r="K67" s="1199"/>
      <c r="L67" s="1199"/>
      <c r="M67" s="1199"/>
      <c r="N67" s="1199"/>
      <c r="O67" s="1199"/>
      <c r="P67" s="1199"/>
      <c r="Q67" s="1199"/>
      <c r="R67" s="1199"/>
      <c r="S67" s="1199"/>
      <c r="T67" s="1199"/>
      <c r="U67" s="1199"/>
      <c r="V67" s="1199"/>
      <c r="W67" s="1199"/>
      <c r="X67" s="1199"/>
      <c r="Y67" s="1199"/>
      <c r="Z67" s="1199"/>
      <c r="AA67" s="1199"/>
      <c r="AB67" s="1199"/>
      <c r="AC67" s="1199"/>
      <c r="AD67" s="1199"/>
      <c r="AE67" s="1199"/>
      <c r="AF67" s="1199"/>
      <c r="AG67" s="1199"/>
      <c r="AH67" s="1199"/>
      <c r="AI67" s="1199"/>
      <c r="AJ67" s="1199"/>
      <c r="AK67" s="1199"/>
      <c r="AL67" s="1199"/>
      <c r="AM67" s="1199"/>
      <c r="AN67" s="1199"/>
      <c r="AO67" s="1199"/>
      <c r="AP67" s="1199"/>
      <c r="AQ67" s="1199"/>
      <c r="AR67" s="1199"/>
      <c r="AS67" s="1199"/>
      <c r="AT67" s="1199"/>
      <c r="AU67" s="1199"/>
      <c r="AV67" s="1199"/>
      <c r="AW67" s="1199"/>
      <c r="AX67" s="1199"/>
      <c r="AY67" s="1200"/>
    </row>
    <row r="68" spans="1:51" x14ac:dyDescent="0.3">
      <c r="A68" s="1180" t="s">
        <v>3620</v>
      </c>
      <c r="B68" s="1181"/>
      <c r="C68" s="1181"/>
      <c r="D68" s="1181"/>
      <c r="E68" s="1181"/>
      <c r="F68" s="1181"/>
      <c r="G68" s="1181"/>
      <c r="H68" s="1181"/>
      <c r="I68" s="1181"/>
      <c r="J68" s="1181"/>
      <c r="K68" s="1181"/>
      <c r="L68" s="1181"/>
      <c r="M68" s="1181"/>
      <c r="N68" s="1181"/>
      <c r="O68" s="1181"/>
      <c r="P68" s="1181"/>
      <c r="Q68" s="1181"/>
      <c r="R68" s="1181"/>
      <c r="S68" s="1181"/>
      <c r="T68" s="1181"/>
      <c r="U68" s="1181"/>
      <c r="V68" s="1181"/>
      <c r="W68" s="1181"/>
      <c r="X68" s="1181"/>
      <c r="Y68" s="1181"/>
      <c r="Z68" s="1181"/>
      <c r="AA68" s="1181"/>
      <c r="AB68" s="1181"/>
      <c r="AC68" s="1181"/>
      <c r="AD68" s="1181"/>
      <c r="AE68" s="1181"/>
      <c r="AF68" s="1181"/>
      <c r="AG68" s="1181"/>
      <c r="AH68" s="1181"/>
      <c r="AI68" s="1181"/>
      <c r="AJ68" s="1181"/>
      <c r="AK68" s="1181"/>
      <c r="AL68" s="1181"/>
      <c r="AM68" s="1181"/>
      <c r="AN68" s="1181"/>
      <c r="AO68" s="1181"/>
      <c r="AP68" s="1181"/>
      <c r="AQ68" s="1181"/>
      <c r="AR68" s="1181"/>
      <c r="AS68" s="1181"/>
      <c r="AT68" s="1181"/>
      <c r="AU68" s="1181"/>
      <c r="AV68" s="1181"/>
      <c r="AW68" s="1181"/>
      <c r="AX68" s="1181"/>
      <c r="AY68" s="1182"/>
    </row>
    <row r="69" spans="1:51" x14ac:dyDescent="0.3">
      <c r="A69" s="1183" t="s">
        <v>3621</v>
      </c>
      <c r="B69" s="1199"/>
      <c r="C69" s="1199"/>
      <c r="D69" s="1199"/>
      <c r="E69" s="1199"/>
      <c r="F69" s="1199"/>
      <c r="G69" s="1199"/>
      <c r="H69" s="1199"/>
      <c r="I69" s="1199"/>
      <c r="J69" s="1199"/>
      <c r="K69" s="1199"/>
      <c r="L69" s="1199"/>
      <c r="M69" s="1199"/>
      <c r="N69" s="1199"/>
      <c r="O69" s="1199"/>
      <c r="P69" s="1199"/>
      <c r="Q69" s="1199"/>
      <c r="R69" s="1199"/>
      <c r="S69" s="1199"/>
      <c r="T69" s="1199"/>
      <c r="U69" s="1199"/>
      <c r="V69" s="1199"/>
      <c r="W69" s="1199"/>
      <c r="X69" s="1199"/>
      <c r="Y69" s="1199"/>
      <c r="Z69" s="1199"/>
      <c r="AA69" s="1199"/>
      <c r="AB69" s="1199"/>
      <c r="AC69" s="1199"/>
      <c r="AD69" s="1199"/>
      <c r="AE69" s="1199"/>
      <c r="AF69" s="1199"/>
      <c r="AG69" s="1199"/>
      <c r="AH69" s="1199"/>
      <c r="AI69" s="1199"/>
      <c r="AJ69" s="1199"/>
      <c r="AK69" s="1199"/>
      <c r="AL69" s="1199"/>
      <c r="AM69" s="1199"/>
      <c r="AN69" s="1199"/>
      <c r="AO69" s="1199"/>
      <c r="AP69" s="1199"/>
      <c r="AQ69" s="1199"/>
      <c r="AR69" s="1199"/>
      <c r="AS69" s="1199"/>
      <c r="AT69" s="1199"/>
      <c r="AU69" s="1199"/>
      <c r="AV69" s="1199"/>
      <c r="AW69" s="1199"/>
      <c r="AX69" s="1199"/>
      <c r="AY69" s="1200"/>
    </row>
    <row r="70" spans="1:51" x14ac:dyDescent="0.3">
      <c r="A70" s="1180" t="s">
        <v>3622</v>
      </c>
      <c r="B70" s="1181"/>
      <c r="C70" s="1181"/>
      <c r="D70" s="1181"/>
      <c r="E70" s="1181"/>
      <c r="F70" s="1181"/>
      <c r="G70" s="1181"/>
      <c r="H70" s="1181"/>
      <c r="I70" s="1181"/>
      <c r="J70" s="1181"/>
      <c r="K70" s="1181"/>
      <c r="L70" s="1181"/>
      <c r="M70" s="1181"/>
      <c r="N70" s="1181"/>
      <c r="O70" s="1181"/>
      <c r="P70" s="1181"/>
      <c r="Q70" s="1181"/>
      <c r="R70" s="1181"/>
      <c r="S70" s="1181"/>
      <c r="T70" s="1181"/>
      <c r="U70" s="1181"/>
      <c r="V70" s="1181"/>
      <c r="W70" s="1181"/>
      <c r="X70" s="1181"/>
      <c r="Y70" s="1181"/>
      <c r="Z70" s="1181"/>
      <c r="AA70" s="1181"/>
      <c r="AB70" s="1181"/>
      <c r="AC70" s="1181"/>
      <c r="AD70" s="1181"/>
      <c r="AE70" s="1181"/>
      <c r="AF70" s="1181"/>
      <c r="AG70" s="1181"/>
      <c r="AH70" s="1181"/>
      <c r="AI70" s="1181"/>
      <c r="AJ70" s="1181"/>
      <c r="AK70" s="1181"/>
      <c r="AL70" s="1181"/>
      <c r="AM70" s="1181"/>
      <c r="AN70" s="1181"/>
      <c r="AO70" s="1181"/>
      <c r="AP70" s="1181"/>
      <c r="AQ70" s="1181"/>
      <c r="AR70" s="1181"/>
      <c r="AS70" s="1181"/>
      <c r="AT70" s="1181"/>
      <c r="AU70" s="1181"/>
      <c r="AV70" s="1181"/>
      <c r="AW70" s="1181"/>
      <c r="AX70" s="1181"/>
      <c r="AY70" s="1182"/>
    </row>
    <row r="71" spans="1:51" x14ac:dyDescent="0.3">
      <c r="A71" s="1183" t="s">
        <v>3623</v>
      </c>
      <c r="B71" s="1199"/>
      <c r="C71" s="1199"/>
      <c r="D71" s="1199"/>
      <c r="E71" s="1199"/>
      <c r="F71" s="1199"/>
      <c r="G71" s="1199"/>
      <c r="H71" s="1199"/>
      <c r="I71" s="1199"/>
      <c r="J71" s="1199"/>
      <c r="K71" s="1199"/>
      <c r="L71" s="1199"/>
      <c r="M71" s="1199"/>
      <c r="N71" s="1199"/>
      <c r="O71" s="1199"/>
      <c r="P71" s="1199"/>
      <c r="Q71" s="1199"/>
      <c r="R71" s="1199"/>
      <c r="S71" s="1199"/>
      <c r="T71" s="1199"/>
      <c r="U71" s="1199"/>
      <c r="V71" s="1199"/>
      <c r="W71" s="1199"/>
      <c r="X71" s="1199"/>
      <c r="Y71" s="1199"/>
      <c r="Z71" s="1199"/>
      <c r="AA71" s="1199"/>
      <c r="AB71" s="1199"/>
      <c r="AC71" s="1199"/>
      <c r="AD71" s="1199"/>
      <c r="AE71" s="1199"/>
      <c r="AF71" s="1199"/>
      <c r="AG71" s="1199"/>
      <c r="AH71" s="1199"/>
      <c r="AI71" s="1199"/>
      <c r="AJ71" s="1199"/>
      <c r="AK71" s="1199"/>
      <c r="AL71" s="1199"/>
      <c r="AM71" s="1199"/>
      <c r="AN71" s="1199"/>
      <c r="AO71" s="1199"/>
      <c r="AP71" s="1199"/>
      <c r="AQ71" s="1199"/>
      <c r="AR71" s="1199"/>
      <c r="AS71" s="1199"/>
      <c r="AT71" s="1199"/>
      <c r="AU71" s="1199"/>
      <c r="AV71" s="1199"/>
      <c r="AW71" s="1199"/>
      <c r="AX71" s="1199"/>
      <c r="AY71" s="1200"/>
    </row>
    <row r="72" spans="1:51" x14ac:dyDescent="0.3">
      <c r="A72" s="1180" t="s">
        <v>3624</v>
      </c>
      <c r="B72" s="1181"/>
      <c r="C72" s="1181"/>
      <c r="D72" s="1181"/>
      <c r="E72" s="1181"/>
      <c r="F72" s="1181"/>
      <c r="G72" s="1181"/>
      <c r="H72" s="1181"/>
      <c r="I72" s="1181"/>
      <c r="J72" s="1181"/>
      <c r="K72" s="1181"/>
      <c r="L72" s="1181"/>
      <c r="M72" s="1181"/>
      <c r="N72" s="1181"/>
      <c r="O72" s="1181"/>
      <c r="P72" s="1181"/>
      <c r="Q72" s="1181"/>
      <c r="R72" s="1181"/>
      <c r="S72" s="1181"/>
      <c r="T72" s="1181"/>
      <c r="U72" s="1181"/>
      <c r="V72" s="1181"/>
      <c r="W72" s="1181"/>
      <c r="X72" s="1181"/>
      <c r="Y72" s="1181"/>
      <c r="Z72" s="1181"/>
      <c r="AA72" s="1181"/>
      <c r="AB72" s="1181"/>
      <c r="AC72" s="1181"/>
      <c r="AD72" s="1181"/>
      <c r="AE72" s="1181"/>
      <c r="AF72" s="1181"/>
      <c r="AG72" s="1181"/>
      <c r="AH72" s="1181"/>
      <c r="AI72" s="1181"/>
      <c r="AJ72" s="1181"/>
      <c r="AK72" s="1181"/>
      <c r="AL72" s="1181"/>
      <c r="AM72" s="1181"/>
      <c r="AN72" s="1181"/>
      <c r="AO72" s="1181"/>
      <c r="AP72" s="1181"/>
      <c r="AQ72" s="1181"/>
      <c r="AR72" s="1181"/>
      <c r="AS72" s="1181"/>
      <c r="AT72" s="1181"/>
      <c r="AU72" s="1181"/>
      <c r="AV72" s="1181"/>
      <c r="AW72" s="1181"/>
      <c r="AX72" s="1181"/>
      <c r="AY72" s="1182"/>
    </row>
    <row r="73" spans="1:51" x14ac:dyDescent="0.3">
      <c r="A73" s="1183" t="s">
        <v>3625</v>
      </c>
      <c r="B73" s="1199"/>
      <c r="C73" s="1199"/>
      <c r="D73" s="1199"/>
      <c r="E73" s="1199"/>
      <c r="F73" s="1199"/>
      <c r="G73" s="1199"/>
      <c r="H73" s="1199"/>
      <c r="I73" s="1199"/>
      <c r="J73" s="1199"/>
      <c r="K73" s="1199"/>
      <c r="L73" s="1199"/>
      <c r="M73" s="1199"/>
      <c r="N73" s="1199"/>
      <c r="O73" s="1199"/>
      <c r="P73" s="1199"/>
      <c r="Q73" s="1199"/>
      <c r="R73" s="1199"/>
      <c r="S73" s="1199"/>
      <c r="T73" s="1199"/>
      <c r="U73" s="1199"/>
      <c r="V73" s="1199"/>
      <c r="W73" s="1199"/>
      <c r="X73" s="1199"/>
      <c r="Y73" s="1199"/>
      <c r="Z73" s="1199"/>
      <c r="AA73" s="1199"/>
      <c r="AB73" s="1199"/>
      <c r="AC73" s="1199"/>
      <c r="AD73" s="1199"/>
      <c r="AE73" s="1199"/>
      <c r="AF73" s="1199"/>
      <c r="AG73" s="1199"/>
      <c r="AH73" s="1199"/>
      <c r="AI73" s="1199"/>
      <c r="AJ73" s="1199"/>
      <c r="AK73" s="1199"/>
      <c r="AL73" s="1199"/>
      <c r="AM73" s="1199"/>
      <c r="AN73" s="1199"/>
      <c r="AO73" s="1199"/>
      <c r="AP73" s="1199"/>
      <c r="AQ73" s="1199"/>
      <c r="AR73" s="1199"/>
      <c r="AS73" s="1199"/>
      <c r="AT73" s="1199"/>
      <c r="AU73" s="1199"/>
      <c r="AV73" s="1199"/>
      <c r="AW73" s="1199"/>
      <c r="AX73" s="1199"/>
      <c r="AY73" s="1200"/>
    </row>
    <row r="74" spans="1:51" x14ac:dyDescent="0.3">
      <c r="A74" s="1180" t="s">
        <v>3626</v>
      </c>
      <c r="B74" s="1181"/>
      <c r="C74" s="1181"/>
      <c r="D74" s="1181"/>
      <c r="E74" s="1181"/>
      <c r="F74" s="1181"/>
      <c r="G74" s="1181"/>
      <c r="H74" s="1181"/>
      <c r="I74" s="1181"/>
      <c r="J74" s="1181"/>
      <c r="K74" s="1181"/>
      <c r="L74" s="1181"/>
      <c r="M74" s="1181"/>
      <c r="N74" s="1181"/>
      <c r="O74" s="1181"/>
      <c r="P74" s="1181"/>
      <c r="Q74" s="1181"/>
      <c r="R74" s="1181"/>
      <c r="S74" s="1181"/>
      <c r="T74" s="1181"/>
      <c r="U74" s="1181"/>
      <c r="V74" s="1181"/>
      <c r="W74" s="1181"/>
      <c r="X74" s="1181"/>
      <c r="Y74" s="1181"/>
      <c r="Z74" s="1181"/>
      <c r="AA74" s="1181"/>
      <c r="AB74" s="1181"/>
      <c r="AC74" s="1181"/>
      <c r="AD74" s="1181"/>
      <c r="AE74" s="1181"/>
      <c r="AF74" s="1181"/>
      <c r="AG74" s="1181"/>
      <c r="AH74" s="1181"/>
      <c r="AI74" s="1181"/>
      <c r="AJ74" s="1181"/>
      <c r="AK74" s="1181"/>
      <c r="AL74" s="1181"/>
      <c r="AM74" s="1181"/>
      <c r="AN74" s="1181"/>
      <c r="AO74" s="1181"/>
      <c r="AP74" s="1181"/>
      <c r="AQ74" s="1181"/>
      <c r="AR74" s="1181"/>
      <c r="AS74" s="1181"/>
      <c r="AT74" s="1181"/>
      <c r="AU74" s="1181"/>
      <c r="AV74" s="1181"/>
      <c r="AW74" s="1181"/>
      <c r="AX74" s="1181"/>
      <c r="AY74" s="1182"/>
    </row>
    <row r="75" spans="1:51" x14ac:dyDescent="0.3">
      <c r="A75" s="1183" t="s">
        <v>3627</v>
      </c>
      <c r="B75" s="1199"/>
      <c r="C75" s="1199"/>
      <c r="D75" s="1199"/>
      <c r="E75" s="1199"/>
      <c r="F75" s="1199"/>
      <c r="G75" s="1199"/>
      <c r="H75" s="1199"/>
      <c r="I75" s="1199"/>
      <c r="J75" s="1199"/>
      <c r="K75" s="1199"/>
      <c r="L75" s="1199"/>
      <c r="M75" s="1199"/>
      <c r="N75" s="1199"/>
      <c r="O75" s="1199"/>
      <c r="P75" s="1199"/>
      <c r="Q75" s="1199"/>
      <c r="R75" s="1199"/>
      <c r="S75" s="1199"/>
      <c r="T75" s="1199"/>
      <c r="U75" s="1199"/>
      <c r="V75" s="1199"/>
      <c r="W75" s="1199"/>
      <c r="X75" s="1199"/>
      <c r="Y75" s="1199"/>
      <c r="Z75" s="1199"/>
      <c r="AA75" s="1199"/>
      <c r="AB75" s="1199"/>
      <c r="AC75" s="1199"/>
      <c r="AD75" s="1199"/>
      <c r="AE75" s="1199"/>
      <c r="AF75" s="1199"/>
      <c r="AG75" s="1199"/>
      <c r="AH75" s="1199"/>
      <c r="AI75" s="1199"/>
      <c r="AJ75" s="1199"/>
      <c r="AK75" s="1199"/>
      <c r="AL75" s="1199"/>
      <c r="AM75" s="1199"/>
      <c r="AN75" s="1199"/>
      <c r="AO75" s="1199"/>
      <c r="AP75" s="1199"/>
      <c r="AQ75" s="1199"/>
      <c r="AR75" s="1199"/>
      <c r="AS75" s="1199"/>
      <c r="AT75" s="1199"/>
      <c r="AU75" s="1199"/>
      <c r="AV75" s="1199"/>
      <c r="AW75" s="1199"/>
      <c r="AX75" s="1199"/>
      <c r="AY75" s="1200"/>
    </row>
    <row r="76" spans="1:51" x14ac:dyDescent="0.3">
      <c r="A76" s="1221" t="s">
        <v>3628</v>
      </c>
      <c r="B76" s="1222"/>
      <c r="C76" s="1222"/>
      <c r="D76" s="1222"/>
      <c r="E76" s="1222"/>
      <c r="F76" s="1222"/>
      <c r="G76" s="1222"/>
      <c r="H76" s="1222"/>
      <c r="I76" s="1222"/>
      <c r="J76" s="1222"/>
      <c r="K76" s="1222"/>
      <c r="L76" s="1222"/>
      <c r="M76" s="1222"/>
      <c r="N76" s="1222"/>
      <c r="O76" s="1222"/>
      <c r="P76" s="1222"/>
      <c r="Q76" s="1222"/>
      <c r="R76" s="1222"/>
      <c r="S76" s="1222"/>
      <c r="T76" s="1222"/>
      <c r="U76" s="1222"/>
      <c r="V76" s="1222"/>
      <c r="W76" s="1222"/>
      <c r="X76" s="1222"/>
      <c r="Y76" s="1222"/>
      <c r="Z76" s="1222"/>
      <c r="AA76" s="1222"/>
      <c r="AB76" s="1222"/>
      <c r="AC76" s="1222"/>
      <c r="AD76" s="1222"/>
      <c r="AE76" s="1222"/>
      <c r="AF76" s="1222"/>
      <c r="AG76" s="1222"/>
      <c r="AH76" s="1222"/>
      <c r="AI76" s="1222"/>
      <c r="AJ76" s="1222"/>
      <c r="AK76" s="1222"/>
      <c r="AL76" s="1222"/>
      <c r="AM76" s="1222"/>
      <c r="AN76" s="1222"/>
      <c r="AO76" s="1222"/>
      <c r="AP76" s="1222"/>
      <c r="AQ76" s="1222"/>
      <c r="AR76" s="1222"/>
      <c r="AS76" s="1222"/>
      <c r="AT76" s="1222"/>
      <c r="AU76" s="1222"/>
      <c r="AV76" s="1222"/>
      <c r="AW76" s="1222"/>
      <c r="AX76" s="1222"/>
      <c r="AY76" s="1223"/>
    </row>
    <row r="77" spans="1:51" x14ac:dyDescent="0.3">
      <c r="A77" s="1218" t="s">
        <v>3629</v>
      </c>
      <c r="B77" s="1219"/>
      <c r="C77" s="1219"/>
      <c r="D77" s="1219"/>
      <c r="E77" s="1219"/>
      <c r="F77" s="1219"/>
      <c r="G77" s="1219"/>
      <c r="H77" s="1219"/>
      <c r="I77" s="1219"/>
      <c r="J77" s="1219"/>
      <c r="K77" s="1219"/>
      <c r="L77" s="1219"/>
      <c r="M77" s="1219"/>
      <c r="N77" s="1219"/>
      <c r="O77" s="1219"/>
      <c r="P77" s="1219"/>
      <c r="Q77" s="1219"/>
      <c r="R77" s="1219"/>
      <c r="S77" s="1219"/>
      <c r="T77" s="1219"/>
      <c r="U77" s="1219"/>
      <c r="V77" s="1219"/>
      <c r="W77" s="1219"/>
      <c r="X77" s="1219"/>
      <c r="Y77" s="1219"/>
      <c r="Z77" s="1219"/>
      <c r="AA77" s="1219"/>
      <c r="AB77" s="1219"/>
      <c r="AC77" s="1219"/>
      <c r="AD77" s="1219"/>
      <c r="AE77" s="1219"/>
      <c r="AF77" s="1219"/>
      <c r="AG77" s="1219"/>
      <c r="AH77" s="1219"/>
      <c r="AI77" s="1219"/>
      <c r="AJ77" s="1219"/>
      <c r="AK77" s="1219"/>
      <c r="AL77" s="1219"/>
      <c r="AM77" s="1219"/>
      <c r="AN77" s="1219"/>
      <c r="AO77" s="1219"/>
      <c r="AP77" s="1219"/>
      <c r="AQ77" s="1219"/>
      <c r="AR77" s="1219"/>
      <c r="AS77" s="1219"/>
      <c r="AT77" s="1219"/>
      <c r="AU77" s="1219"/>
      <c r="AV77" s="1219"/>
      <c r="AW77" s="1219"/>
      <c r="AX77" s="1219"/>
      <c r="AY77" s="1220"/>
    </row>
    <row r="78" spans="1:51" x14ac:dyDescent="0.3">
      <c r="A78" s="1193" t="s">
        <v>3630</v>
      </c>
      <c r="B78" s="1194"/>
      <c r="C78" s="1194"/>
      <c r="D78" s="1194"/>
      <c r="E78" s="1194"/>
      <c r="F78" s="1194"/>
      <c r="G78" s="1194"/>
      <c r="H78" s="1194"/>
      <c r="I78" s="1194"/>
      <c r="J78" s="1194"/>
      <c r="K78" s="1194"/>
      <c r="L78" s="1194"/>
      <c r="M78" s="1194"/>
      <c r="N78" s="1194"/>
      <c r="O78" s="1194"/>
      <c r="P78" s="1194"/>
      <c r="Q78" s="1194"/>
      <c r="R78" s="1194"/>
      <c r="S78" s="1194"/>
      <c r="T78" s="1194"/>
      <c r="U78" s="1194"/>
      <c r="V78" s="1194"/>
      <c r="W78" s="1194"/>
      <c r="X78" s="1194"/>
      <c r="Y78" s="1194"/>
      <c r="Z78" s="1194"/>
      <c r="AA78" s="1194"/>
      <c r="AB78" s="1194"/>
      <c r="AC78" s="1194"/>
      <c r="AD78" s="1194"/>
      <c r="AE78" s="1194"/>
      <c r="AF78" s="1194"/>
      <c r="AG78" s="1194"/>
      <c r="AH78" s="1194"/>
      <c r="AI78" s="1194"/>
      <c r="AJ78" s="1194"/>
      <c r="AK78" s="1194"/>
      <c r="AL78" s="1194"/>
      <c r="AM78" s="1194"/>
      <c r="AN78" s="1194"/>
      <c r="AO78" s="1194"/>
      <c r="AP78" s="1194"/>
      <c r="AQ78" s="1194"/>
      <c r="AR78" s="1194"/>
      <c r="AS78" s="1194"/>
      <c r="AT78" s="1194"/>
      <c r="AU78" s="1194"/>
      <c r="AV78" s="1194"/>
      <c r="AW78" s="1194"/>
      <c r="AX78" s="1194"/>
      <c r="AY78" s="1195"/>
    </row>
    <row r="79" spans="1:51" x14ac:dyDescent="0.3">
      <c r="A79" s="1215" t="s">
        <v>3631</v>
      </c>
      <c r="B79" s="1216"/>
      <c r="C79" s="1216"/>
      <c r="D79" s="1216"/>
      <c r="E79" s="1216"/>
      <c r="F79" s="1216"/>
      <c r="G79" s="1216"/>
      <c r="H79" s="1216"/>
      <c r="I79" s="1216"/>
      <c r="J79" s="1216"/>
      <c r="K79" s="1216"/>
      <c r="L79" s="1216"/>
      <c r="M79" s="1216"/>
      <c r="N79" s="1216"/>
      <c r="O79" s="1216"/>
      <c r="P79" s="1216"/>
      <c r="Q79" s="1216"/>
      <c r="R79" s="1216"/>
      <c r="S79" s="1216"/>
      <c r="T79" s="1216"/>
      <c r="U79" s="1216"/>
      <c r="V79" s="1216"/>
      <c r="W79" s="1216"/>
      <c r="X79" s="1216"/>
      <c r="Y79" s="1216"/>
      <c r="Z79" s="1216"/>
      <c r="AA79" s="1216"/>
      <c r="AB79" s="1216"/>
      <c r="AC79" s="1216"/>
      <c r="AD79" s="1216"/>
      <c r="AE79" s="1216"/>
      <c r="AF79" s="1216"/>
      <c r="AG79" s="1216"/>
      <c r="AH79" s="1216"/>
      <c r="AI79" s="1216"/>
      <c r="AJ79" s="1216"/>
      <c r="AK79" s="1216"/>
      <c r="AL79" s="1216"/>
      <c r="AM79" s="1216"/>
      <c r="AN79" s="1216"/>
      <c r="AO79" s="1216"/>
      <c r="AP79" s="1216"/>
      <c r="AQ79" s="1216"/>
      <c r="AR79" s="1216"/>
      <c r="AS79" s="1216"/>
      <c r="AT79" s="1216"/>
      <c r="AU79" s="1216"/>
      <c r="AV79" s="1216"/>
      <c r="AW79" s="1216"/>
      <c r="AX79" s="1216"/>
      <c r="AY79" s="1217"/>
    </row>
    <row r="80" spans="1:51" x14ac:dyDescent="0.3">
      <c r="A80" s="1192" t="s">
        <v>3632</v>
      </c>
      <c r="B80" s="1213"/>
      <c r="C80" s="1213"/>
      <c r="D80" s="1213"/>
      <c r="E80" s="1213"/>
      <c r="F80" s="1213"/>
      <c r="G80" s="1213"/>
      <c r="H80" s="1213"/>
      <c r="I80" s="1213"/>
      <c r="J80" s="1213"/>
      <c r="K80" s="1213"/>
      <c r="L80" s="1213"/>
      <c r="M80" s="1213"/>
      <c r="N80" s="1213"/>
      <c r="O80" s="1213"/>
      <c r="P80" s="1213"/>
      <c r="Q80" s="1213"/>
      <c r="R80" s="1213"/>
      <c r="S80" s="1213"/>
      <c r="T80" s="1213"/>
      <c r="U80" s="1213"/>
      <c r="V80" s="1213"/>
      <c r="W80" s="1213"/>
      <c r="X80" s="1213"/>
      <c r="Y80" s="1213"/>
      <c r="Z80" s="1213"/>
      <c r="AA80" s="1213"/>
      <c r="AB80" s="1213"/>
      <c r="AC80" s="1213"/>
      <c r="AD80" s="1213"/>
      <c r="AE80" s="1213"/>
      <c r="AF80" s="1213"/>
      <c r="AG80" s="1213"/>
      <c r="AH80" s="1213"/>
      <c r="AI80" s="1213"/>
      <c r="AJ80" s="1213"/>
      <c r="AK80" s="1213"/>
      <c r="AL80" s="1213"/>
      <c r="AM80" s="1213"/>
      <c r="AN80" s="1213"/>
      <c r="AO80" s="1213"/>
      <c r="AP80" s="1213"/>
      <c r="AQ80" s="1213"/>
      <c r="AR80" s="1213"/>
      <c r="AS80" s="1213"/>
      <c r="AT80" s="1213"/>
      <c r="AU80" s="1213"/>
      <c r="AV80" s="1213"/>
      <c r="AW80" s="1213"/>
      <c r="AX80" s="1213"/>
      <c r="AY80" s="1214"/>
    </row>
    <row r="81" spans="1:51" x14ac:dyDescent="0.3">
      <c r="A81" s="1193" t="s">
        <v>3633</v>
      </c>
      <c r="B81" s="1194"/>
      <c r="C81" s="1194"/>
      <c r="D81" s="1194"/>
      <c r="E81" s="1194"/>
      <c r="F81" s="1194"/>
      <c r="G81" s="1194"/>
      <c r="H81" s="1194"/>
      <c r="I81" s="1194"/>
      <c r="J81" s="1194"/>
      <c r="K81" s="1194"/>
      <c r="L81" s="1194"/>
      <c r="M81" s="1194"/>
      <c r="N81" s="1194"/>
      <c r="O81" s="1194"/>
      <c r="P81" s="1194"/>
      <c r="Q81" s="1194"/>
      <c r="R81" s="1194"/>
      <c r="S81" s="1194"/>
      <c r="T81" s="1194"/>
      <c r="U81" s="1194"/>
      <c r="V81" s="1194"/>
      <c r="W81" s="1194"/>
      <c r="X81" s="1194"/>
      <c r="Y81" s="1194"/>
      <c r="Z81" s="1194"/>
      <c r="AA81" s="1194"/>
      <c r="AB81" s="1194"/>
      <c r="AC81" s="1194"/>
      <c r="AD81" s="1194"/>
      <c r="AE81" s="1194"/>
      <c r="AF81" s="1194"/>
      <c r="AG81" s="1194"/>
      <c r="AH81" s="1194"/>
      <c r="AI81" s="1194"/>
      <c r="AJ81" s="1194"/>
      <c r="AK81" s="1194"/>
      <c r="AL81" s="1194"/>
      <c r="AM81" s="1194"/>
      <c r="AN81" s="1194"/>
      <c r="AO81" s="1194"/>
      <c r="AP81" s="1194"/>
      <c r="AQ81" s="1194"/>
      <c r="AR81" s="1194"/>
      <c r="AS81" s="1194"/>
      <c r="AT81" s="1194"/>
      <c r="AU81" s="1194"/>
      <c r="AV81" s="1194"/>
      <c r="AW81" s="1194"/>
      <c r="AX81" s="1194"/>
      <c r="AY81" s="1195"/>
    </row>
    <row r="82" spans="1:51" x14ac:dyDescent="0.3">
      <c r="A82" s="1180" t="s">
        <v>3634</v>
      </c>
      <c r="B82" s="1181"/>
      <c r="C82" s="1181"/>
      <c r="D82" s="1181"/>
      <c r="E82" s="1181"/>
      <c r="F82" s="1181"/>
      <c r="G82" s="1181"/>
      <c r="H82" s="1181"/>
      <c r="I82" s="1181"/>
      <c r="J82" s="1181"/>
      <c r="K82" s="1181"/>
      <c r="L82" s="1181"/>
      <c r="M82" s="1181"/>
      <c r="N82" s="1181"/>
      <c r="O82" s="1181"/>
      <c r="P82" s="1181"/>
      <c r="Q82" s="1181"/>
      <c r="R82" s="1181"/>
      <c r="S82" s="1181"/>
      <c r="T82" s="1181"/>
      <c r="U82" s="1181"/>
      <c r="V82" s="1181"/>
      <c r="W82" s="1181"/>
      <c r="X82" s="1181"/>
      <c r="Y82" s="1181"/>
      <c r="Z82" s="1181"/>
      <c r="AA82" s="1181"/>
      <c r="AB82" s="1181"/>
      <c r="AC82" s="1181"/>
      <c r="AD82" s="1181"/>
      <c r="AE82" s="1181"/>
      <c r="AF82" s="1181"/>
      <c r="AG82" s="1181"/>
      <c r="AH82" s="1181"/>
      <c r="AI82" s="1181"/>
      <c r="AJ82" s="1181"/>
      <c r="AK82" s="1181"/>
      <c r="AL82" s="1181"/>
      <c r="AM82" s="1181"/>
      <c r="AN82" s="1181"/>
      <c r="AO82" s="1181"/>
      <c r="AP82" s="1181"/>
      <c r="AQ82" s="1181"/>
      <c r="AR82" s="1181"/>
      <c r="AS82" s="1181"/>
      <c r="AT82" s="1181"/>
      <c r="AU82" s="1181"/>
      <c r="AV82" s="1181"/>
      <c r="AW82" s="1181"/>
      <c r="AX82" s="1181"/>
      <c r="AY82" s="1182"/>
    </row>
    <row r="83" spans="1:51" x14ac:dyDescent="0.3">
      <c r="A83" s="1183" t="s">
        <v>3635</v>
      </c>
      <c r="B83" s="1199"/>
      <c r="C83" s="1199"/>
      <c r="D83" s="1199"/>
      <c r="E83" s="1199"/>
      <c r="F83" s="1199"/>
      <c r="G83" s="1199"/>
      <c r="H83" s="1199"/>
      <c r="I83" s="1199"/>
      <c r="J83" s="1199"/>
      <c r="K83" s="1199"/>
      <c r="L83" s="1199"/>
      <c r="M83" s="1199"/>
      <c r="N83" s="1199"/>
      <c r="O83" s="1199"/>
      <c r="P83" s="1199"/>
      <c r="Q83" s="1199"/>
      <c r="R83" s="1199"/>
      <c r="S83" s="1199"/>
      <c r="T83" s="1199"/>
      <c r="U83" s="1199"/>
      <c r="V83" s="1199"/>
      <c r="W83" s="1199"/>
      <c r="X83" s="1199"/>
      <c r="Y83" s="1199"/>
      <c r="Z83" s="1199"/>
      <c r="AA83" s="1199"/>
      <c r="AB83" s="1199"/>
      <c r="AC83" s="1199"/>
      <c r="AD83" s="1199"/>
      <c r="AE83" s="1199"/>
      <c r="AF83" s="1199"/>
      <c r="AG83" s="1199"/>
      <c r="AH83" s="1199"/>
      <c r="AI83" s="1199"/>
      <c r="AJ83" s="1199"/>
      <c r="AK83" s="1199"/>
      <c r="AL83" s="1199"/>
      <c r="AM83" s="1199"/>
      <c r="AN83" s="1199"/>
      <c r="AO83" s="1199"/>
      <c r="AP83" s="1199"/>
      <c r="AQ83" s="1199"/>
      <c r="AR83" s="1199"/>
      <c r="AS83" s="1199"/>
      <c r="AT83" s="1199"/>
      <c r="AU83" s="1199"/>
      <c r="AV83" s="1199"/>
      <c r="AW83" s="1199"/>
      <c r="AX83" s="1199"/>
      <c r="AY83" s="1200"/>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92" t="s">
        <v>3637</v>
      </c>
      <c r="B85" s="1187"/>
      <c r="C85" s="1187"/>
      <c r="D85" s="1187"/>
      <c r="E85" s="1187"/>
      <c r="F85" s="1187"/>
      <c r="G85" s="1187"/>
      <c r="H85" s="1187"/>
      <c r="I85" s="1187"/>
      <c r="J85" s="1187"/>
      <c r="K85" s="1187"/>
      <c r="L85" s="1187"/>
      <c r="M85" s="1187"/>
      <c r="N85" s="1187"/>
      <c r="O85" s="1187"/>
      <c r="P85" s="1187"/>
      <c r="Q85" s="1187"/>
      <c r="R85" s="1187"/>
      <c r="S85" s="1187"/>
      <c r="T85" s="1187"/>
      <c r="U85" s="1187"/>
      <c r="V85" s="1187"/>
      <c r="W85" s="1187"/>
      <c r="X85" s="1187"/>
      <c r="Y85" s="1187"/>
      <c r="Z85" s="1187"/>
      <c r="AA85" s="1187"/>
      <c r="AB85" s="1187"/>
      <c r="AC85" s="1187"/>
      <c r="AD85" s="1187"/>
      <c r="AE85" s="1187"/>
      <c r="AF85" s="1187"/>
      <c r="AG85" s="1187"/>
      <c r="AH85" s="1187"/>
      <c r="AI85" s="1187"/>
      <c r="AJ85" s="1187"/>
      <c r="AK85" s="1187"/>
      <c r="AL85" s="1187"/>
      <c r="AM85" s="1187"/>
      <c r="AN85" s="1187"/>
      <c r="AO85" s="1187"/>
      <c r="AP85" s="1187"/>
      <c r="AQ85" s="1187"/>
      <c r="AR85" s="1187"/>
      <c r="AS85" s="1187"/>
      <c r="AT85" s="1187"/>
      <c r="AU85" s="1187"/>
      <c r="AV85" s="1187"/>
      <c r="AW85" s="1187"/>
      <c r="AX85" s="1187"/>
      <c r="AY85" s="1188"/>
    </row>
    <row r="86" spans="1:51" x14ac:dyDescent="0.3">
      <c r="A86" s="1193" t="s">
        <v>3638</v>
      </c>
      <c r="B86" s="1194"/>
      <c r="C86" s="1194"/>
      <c r="D86" s="1194"/>
      <c r="E86" s="1194"/>
      <c r="F86" s="1194"/>
      <c r="G86" s="1194"/>
      <c r="H86" s="1194"/>
      <c r="I86" s="1194"/>
      <c r="J86" s="1194"/>
      <c r="K86" s="1194"/>
      <c r="L86" s="1194"/>
      <c r="M86" s="1194"/>
      <c r="N86" s="1194"/>
      <c r="O86" s="1194"/>
      <c r="P86" s="1194"/>
      <c r="Q86" s="1194"/>
      <c r="R86" s="1194"/>
      <c r="S86" s="1194"/>
      <c r="T86" s="1194"/>
      <c r="U86" s="1194"/>
      <c r="V86" s="1194"/>
      <c r="W86" s="1194"/>
      <c r="X86" s="1194"/>
      <c r="Y86" s="1194"/>
      <c r="Z86" s="1194"/>
      <c r="AA86" s="1194"/>
      <c r="AB86" s="1194"/>
      <c r="AC86" s="1194"/>
      <c r="AD86" s="1194"/>
      <c r="AE86" s="1194"/>
      <c r="AF86" s="1194"/>
      <c r="AG86" s="1194"/>
      <c r="AH86" s="1194"/>
      <c r="AI86" s="1194"/>
      <c r="AJ86" s="1194"/>
      <c r="AK86" s="1194"/>
      <c r="AL86" s="1194"/>
      <c r="AM86" s="1194"/>
      <c r="AN86" s="1194"/>
      <c r="AO86" s="1194"/>
      <c r="AP86" s="1194"/>
      <c r="AQ86" s="1194"/>
      <c r="AR86" s="1194"/>
      <c r="AS86" s="1194"/>
      <c r="AT86" s="1194"/>
      <c r="AU86" s="1194"/>
      <c r="AV86" s="1194"/>
      <c r="AW86" s="1194"/>
      <c r="AX86" s="1194"/>
      <c r="AY86" s="1195"/>
    </row>
    <row r="87" spans="1:51" x14ac:dyDescent="0.3">
      <c r="A87" s="1196" t="s">
        <v>3639</v>
      </c>
      <c r="B87" s="1197"/>
      <c r="C87" s="1197"/>
      <c r="D87" s="1197"/>
      <c r="E87" s="1197"/>
      <c r="F87" s="1197"/>
      <c r="G87" s="1197"/>
      <c r="H87" s="1197"/>
      <c r="I87" s="1197"/>
      <c r="J87" s="1197"/>
      <c r="K87" s="1197"/>
      <c r="L87" s="1197"/>
      <c r="M87" s="1197"/>
      <c r="N87" s="1197"/>
      <c r="O87" s="1197"/>
      <c r="P87" s="1197"/>
      <c r="Q87" s="1197"/>
      <c r="R87" s="1197"/>
      <c r="S87" s="1197"/>
      <c r="T87" s="1197"/>
      <c r="U87" s="1197"/>
      <c r="V87" s="1197"/>
      <c r="W87" s="1197"/>
      <c r="X87" s="1197"/>
      <c r="Y87" s="1197"/>
      <c r="Z87" s="1197"/>
      <c r="AA87" s="1197"/>
      <c r="AB87" s="1197"/>
      <c r="AC87" s="1197"/>
      <c r="AD87" s="1197"/>
      <c r="AE87" s="1197"/>
      <c r="AF87" s="1197"/>
      <c r="AG87" s="1197"/>
      <c r="AH87" s="1197"/>
      <c r="AI87" s="1197"/>
      <c r="AJ87" s="1197"/>
      <c r="AK87" s="1197"/>
      <c r="AL87" s="1197"/>
      <c r="AM87" s="1197"/>
      <c r="AN87" s="1197"/>
      <c r="AO87" s="1197"/>
      <c r="AP87" s="1197"/>
      <c r="AQ87" s="1197"/>
      <c r="AR87" s="1197"/>
      <c r="AS87" s="1197"/>
      <c r="AT87" s="1197"/>
      <c r="AU87" s="1197"/>
      <c r="AV87" s="1197"/>
      <c r="AW87" s="1197"/>
      <c r="AX87" s="1197"/>
      <c r="AY87" s="1198"/>
    </row>
    <row r="88" spans="1:51" x14ac:dyDescent="0.3">
      <c r="A88" s="1183" t="s">
        <v>3640</v>
      </c>
      <c r="B88" s="1184"/>
      <c r="C88" s="1184"/>
      <c r="D88" s="1184"/>
      <c r="E88" s="1184"/>
      <c r="F88" s="1184"/>
      <c r="G88" s="1184"/>
      <c r="H88" s="1184"/>
      <c r="I88" s="1184"/>
      <c r="J88" s="1184"/>
      <c r="K88" s="1184"/>
      <c r="L88" s="1184"/>
      <c r="M88" s="1184"/>
      <c r="N88" s="1184"/>
      <c r="O88" s="1184"/>
      <c r="P88" s="1184"/>
      <c r="Q88" s="1184"/>
      <c r="R88" s="1184"/>
      <c r="S88" s="1184"/>
      <c r="T88" s="1184"/>
      <c r="U88" s="1184"/>
      <c r="V88" s="1184"/>
      <c r="W88" s="1184"/>
      <c r="X88" s="1184"/>
      <c r="Y88" s="1184"/>
      <c r="Z88" s="1184"/>
      <c r="AA88" s="1184"/>
      <c r="AB88" s="1184"/>
      <c r="AC88" s="1184"/>
      <c r="AD88" s="1184"/>
      <c r="AE88" s="1184"/>
      <c r="AF88" s="1184"/>
      <c r="AG88" s="1184"/>
      <c r="AH88" s="1184"/>
      <c r="AI88" s="1184"/>
      <c r="AJ88" s="1184"/>
      <c r="AK88" s="1184"/>
      <c r="AL88" s="1184"/>
      <c r="AM88" s="1184"/>
      <c r="AN88" s="1184"/>
      <c r="AO88" s="1184"/>
      <c r="AP88" s="1184"/>
      <c r="AQ88" s="1184"/>
      <c r="AR88" s="1184"/>
      <c r="AS88" s="1184"/>
      <c r="AT88" s="1184"/>
      <c r="AU88" s="1184"/>
      <c r="AV88" s="1184"/>
      <c r="AW88" s="1184"/>
      <c r="AX88" s="1184"/>
      <c r="AY88" s="1185"/>
    </row>
    <row r="89" spans="1:51" x14ac:dyDescent="0.3">
      <c r="A89" s="1180" t="s">
        <v>3641</v>
      </c>
      <c r="B89" s="1181"/>
      <c r="C89" s="1181"/>
      <c r="D89" s="1181"/>
      <c r="E89" s="1181"/>
      <c r="F89" s="1181"/>
      <c r="G89" s="1181"/>
      <c r="H89" s="1181"/>
      <c r="I89" s="1181"/>
      <c r="J89" s="1181"/>
      <c r="K89" s="1181"/>
      <c r="L89" s="1181"/>
      <c r="M89" s="1181"/>
      <c r="N89" s="1181"/>
      <c r="O89" s="1181"/>
      <c r="P89" s="1181"/>
      <c r="Q89" s="1181"/>
      <c r="R89" s="1181"/>
      <c r="S89" s="1181"/>
      <c r="T89" s="1181"/>
      <c r="U89" s="1181"/>
      <c r="V89" s="1181"/>
      <c r="W89" s="1181"/>
      <c r="X89" s="1181"/>
      <c r="Y89" s="1181"/>
      <c r="Z89" s="1181"/>
      <c r="AA89" s="1181"/>
      <c r="AB89" s="1181"/>
      <c r="AC89" s="1181"/>
      <c r="AD89" s="1181"/>
      <c r="AE89" s="1181"/>
      <c r="AF89" s="1181"/>
      <c r="AG89" s="1181"/>
      <c r="AH89" s="1181"/>
      <c r="AI89" s="1181"/>
      <c r="AJ89" s="1181"/>
      <c r="AK89" s="1181"/>
      <c r="AL89" s="1181"/>
      <c r="AM89" s="1181"/>
      <c r="AN89" s="1181"/>
      <c r="AO89" s="1181"/>
      <c r="AP89" s="1181"/>
      <c r="AQ89" s="1181"/>
      <c r="AR89" s="1181"/>
      <c r="AS89" s="1181"/>
      <c r="AT89" s="1181"/>
      <c r="AU89" s="1181"/>
      <c r="AV89" s="1181"/>
      <c r="AW89" s="1181"/>
      <c r="AX89" s="1181"/>
      <c r="AY89" s="1182"/>
    </row>
    <row r="90" spans="1:51" x14ac:dyDescent="0.3">
      <c r="A90" s="1183" t="s">
        <v>3642</v>
      </c>
      <c r="B90" s="1184"/>
      <c r="C90" s="1184"/>
      <c r="D90" s="1184"/>
      <c r="E90" s="1184"/>
      <c r="F90" s="1184"/>
      <c r="G90" s="1184"/>
      <c r="H90" s="1184"/>
      <c r="I90" s="1184"/>
      <c r="J90" s="1184"/>
      <c r="K90" s="1184"/>
      <c r="L90" s="1184"/>
      <c r="M90" s="1184"/>
      <c r="N90" s="1184"/>
      <c r="O90" s="1184"/>
      <c r="P90" s="1184"/>
      <c r="Q90" s="1184"/>
      <c r="R90" s="1184"/>
      <c r="S90" s="1184"/>
      <c r="T90" s="1184"/>
      <c r="U90" s="1184"/>
      <c r="V90" s="1184"/>
      <c r="W90" s="1184"/>
      <c r="X90" s="1184"/>
      <c r="Y90" s="1184"/>
      <c r="Z90" s="1184"/>
      <c r="AA90" s="1184"/>
      <c r="AB90" s="1184"/>
      <c r="AC90" s="1184"/>
      <c r="AD90" s="1184"/>
      <c r="AE90" s="1184"/>
      <c r="AF90" s="1184"/>
      <c r="AG90" s="1184"/>
      <c r="AH90" s="1184"/>
      <c r="AI90" s="1184"/>
      <c r="AJ90" s="1184"/>
      <c r="AK90" s="1184"/>
      <c r="AL90" s="1184"/>
      <c r="AM90" s="1184"/>
      <c r="AN90" s="1184"/>
      <c r="AO90" s="1184"/>
      <c r="AP90" s="1184"/>
      <c r="AQ90" s="1184"/>
      <c r="AR90" s="1184"/>
      <c r="AS90" s="1184"/>
      <c r="AT90" s="1184"/>
      <c r="AU90" s="1184"/>
      <c r="AV90" s="1184"/>
      <c r="AW90" s="1184"/>
      <c r="AX90" s="1184"/>
      <c r="AY90" s="1185"/>
    </row>
    <row r="91" spans="1:51" x14ac:dyDescent="0.3">
      <c r="A91" s="1180" t="s">
        <v>3643</v>
      </c>
      <c r="B91" s="1181"/>
      <c r="C91" s="1181"/>
      <c r="D91" s="1181"/>
      <c r="E91" s="1181"/>
      <c r="F91" s="1181"/>
      <c r="G91" s="1181"/>
      <c r="H91" s="1181"/>
      <c r="I91" s="1181"/>
      <c r="J91" s="1181"/>
      <c r="K91" s="1181"/>
      <c r="L91" s="1181"/>
      <c r="M91" s="1181"/>
      <c r="N91" s="1181"/>
      <c r="O91" s="1181"/>
      <c r="P91" s="1181"/>
      <c r="Q91" s="1181"/>
      <c r="R91" s="1181"/>
      <c r="S91" s="1181"/>
      <c r="T91" s="1181"/>
      <c r="U91" s="1181"/>
      <c r="V91" s="1181"/>
      <c r="W91" s="1181"/>
      <c r="X91" s="1181"/>
      <c r="Y91" s="1181"/>
      <c r="Z91" s="1181"/>
      <c r="AA91" s="1181"/>
      <c r="AB91" s="1181"/>
      <c r="AC91" s="1181"/>
      <c r="AD91" s="1181"/>
      <c r="AE91" s="1181"/>
      <c r="AF91" s="1181"/>
      <c r="AG91" s="1181"/>
      <c r="AH91" s="1181"/>
      <c r="AI91" s="1181"/>
      <c r="AJ91" s="1181"/>
      <c r="AK91" s="1181"/>
      <c r="AL91" s="1181"/>
      <c r="AM91" s="1181"/>
      <c r="AN91" s="1181"/>
      <c r="AO91" s="1181"/>
      <c r="AP91" s="1181"/>
      <c r="AQ91" s="1181"/>
      <c r="AR91" s="1181"/>
      <c r="AS91" s="1181"/>
      <c r="AT91" s="1181"/>
      <c r="AU91" s="1181"/>
      <c r="AV91" s="1181"/>
      <c r="AW91" s="1181"/>
      <c r="AX91" s="1181"/>
      <c r="AY91" s="1182"/>
    </row>
    <row r="92" spans="1:51" x14ac:dyDescent="0.3">
      <c r="A92" s="1183" t="s">
        <v>3644</v>
      </c>
      <c r="B92" s="1184"/>
      <c r="C92" s="1184"/>
      <c r="D92" s="1184"/>
      <c r="E92" s="1184"/>
      <c r="F92" s="1184"/>
      <c r="G92" s="1184"/>
      <c r="H92" s="1184"/>
      <c r="I92" s="1184"/>
      <c r="J92" s="1184"/>
      <c r="K92" s="1184"/>
      <c r="L92" s="1184"/>
      <c r="M92" s="1184"/>
      <c r="N92" s="1184"/>
      <c r="O92" s="1184"/>
      <c r="P92" s="1184"/>
      <c r="Q92" s="1184"/>
      <c r="R92" s="1184"/>
      <c r="S92" s="1184"/>
      <c r="T92" s="1184"/>
      <c r="U92" s="1184"/>
      <c r="V92" s="1184"/>
      <c r="W92" s="1184"/>
      <c r="X92" s="1184"/>
      <c r="Y92" s="1184"/>
      <c r="Z92" s="1184"/>
      <c r="AA92" s="1184"/>
      <c r="AB92" s="1184"/>
      <c r="AC92" s="1184"/>
      <c r="AD92" s="1184"/>
      <c r="AE92" s="1184"/>
      <c r="AF92" s="1184"/>
      <c r="AG92" s="1184"/>
      <c r="AH92" s="1184"/>
      <c r="AI92" s="1184"/>
      <c r="AJ92" s="1184"/>
      <c r="AK92" s="1184"/>
      <c r="AL92" s="1184"/>
      <c r="AM92" s="1184"/>
      <c r="AN92" s="1184"/>
      <c r="AO92" s="1184"/>
      <c r="AP92" s="1184"/>
      <c r="AQ92" s="1184"/>
      <c r="AR92" s="1184"/>
      <c r="AS92" s="1184"/>
      <c r="AT92" s="1184"/>
      <c r="AU92" s="1184"/>
      <c r="AV92" s="1184"/>
      <c r="AW92" s="1184"/>
      <c r="AX92" s="1184"/>
      <c r="AY92" s="1185"/>
    </row>
    <row r="93" spans="1:51" x14ac:dyDescent="0.3">
      <c r="A93" s="1180" t="s">
        <v>3645</v>
      </c>
      <c r="B93" s="1181"/>
      <c r="C93" s="1181"/>
      <c r="D93" s="1181"/>
      <c r="E93" s="1181"/>
      <c r="F93" s="1181"/>
      <c r="G93" s="1181"/>
      <c r="H93" s="1181"/>
      <c r="I93" s="1181"/>
      <c r="J93" s="1181"/>
      <c r="K93" s="1181"/>
      <c r="L93" s="1181"/>
      <c r="M93" s="1181"/>
      <c r="N93" s="1181"/>
      <c r="O93" s="1181"/>
      <c r="P93" s="1181"/>
      <c r="Q93" s="1181"/>
      <c r="R93" s="1181"/>
      <c r="S93" s="1181"/>
      <c r="T93" s="1181"/>
      <c r="U93" s="1181"/>
      <c r="V93" s="1181"/>
      <c r="W93" s="1181"/>
      <c r="X93" s="1181"/>
      <c r="Y93" s="1181"/>
      <c r="Z93" s="1181"/>
      <c r="AA93" s="1181"/>
      <c r="AB93" s="1181"/>
      <c r="AC93" s="1181"/>
      <c r="AD93" s="1181"/>
      <c r="AE93" s="1181"/>
      <c r="AF93" s="1181"/>
      <c r="AG93" s="1181"/>
      <c r="AH93" s="1181"/>
      <c r="AI93" s="1181"/>
      <c r="AJ93" s="1181"/>
      <c r="AK93" s="1181"/>
      <c r="AL93" s="1181"/>
      <c r="AM93" s="1181"/>
      <c r="AN93" s="1181"/>
      <c r="AO93" s="1181"/>
      <c r="AP93" s="1181"/>
      <c r="AQ93" s="1181"/>
      <c r="AR93" s="1181"/>
      <c r="AS93" s="1181"/>
      <c r="AT93" s="1181"/>
      <c r="AU93" s="1181"/>
      <c r="AV93" s="1181"/>
      <c r="AW93" s="1181"/>
      <c r="AX93" s="1181"/>
      <c r="AY93" s="1182"/>
    </row>
    <row r="94" spans="1:51" x14ac:dyDescent="0.3">
      <c r="A94" s="1183" t="s">
        <v>3646</v>
      </c>
      <c r="B94" s="1184"/>
      <c r="C94" s="1184"/>
      <c r="D94" s="1184"/>
      <c r="E94" s="1184"/>
      <c r="F94" s="1184"/>
      <c r="G94" s="1184"/>
      <c r="H94" s="1184"/>
      <c r="I94" s="1184"/>
      <c r="J94" s="1184"/>
      <c r="K94" s="1184"/>
      <c r="L94" s="1184"/>
      <c r="M94" s="1184"/>
      <c r="N94" s="1184"/>
      <c r="O94" s="1184"/>
      <c r="P94" s="1184"/>
      <c r="Q94" s="1184"/>
      <c r="R94" s="1184"/>
      <c r="S94" s="1184"/>
      <c r="T94" s="1184"/>
      <c r="U94" s="1184"/>
      <c r="V94" s="1184"/>
      <c r="W94" s="1184"/>
      <c r="X94" s="1184"/>
      <c r="Y94" s="1184"/>
      <c r="Z94" s="1184"/>
      <c r="AA94" s="1184"/>
      <c r="AB94" s="1184"/>
      <c r="AC94" s="1184"/>
      <c r="AD94" s="1184"/>
      <c r="AE94" s="1184"/>
      <c r="AF94" s="1184"/>
      <c r="AG94" s="1184"/>
      <c r="AH94" s="1184"/>
      <c r="AI94" s="1184"/>
      <c r="AJ94" s="1184"/>
      <c r="AK94" s="1184"/>
      <c r="AL94" s="1184"/>
      <c r="AM94" s="1184"/>
      <c r="AN94" s="1184"/>
      <c r="AO94" s="1184"/>
      <c r="AP94" s="1184"/>
      <c r="AQ94" s="1184"/>
      <c r="AR94" s="1184"/>
      <c r="AS94" s="1184"/>
      <c r="AT94" s="1184"/>
      <c r="AU94" s="1184"/>
      <c r="AV94" s="1184"/>
      <c r="AW94" s="1184"/>
      <c r="AX94" s="1184"/>
      <c r="AY94" s="1185"/>
    </row>
    <row r="95" spans="1:51" x14ac:dyDescent="0.3">
      <c r="A95" s="1180" t="s">
        <v>3647</v>
      </c>
      <c r="B95" s="1181"/>
      <c r="C95" s="1181"/>
      <c r="D95" s="1181"/>
      <c r="E95" s="1181"/>
      <c r="F95" s="1181"/>
      <c r="G95" s="1181"/>
      <c r="H95" s="1181"/>
      <c r="I95" s="1181"/>
      <c r="J95" s="1181"/>
      <c r="K95" s="1181"/>
      <c r="L95" s="1181"/>
      <c r="M95" s="1181"/>
      <c r="N95" s="1181"/>
      <c r="O95" s="1181"/>
      <c r="P95" s="1181"/>
      <c r="Q95" s="1181"/>
      <c r="R95" s="1181"/>
      <c r="S95" s="1181"/>
      <c r="T95" s="1181"/>
      <c r="U95" s="1181"/>
      <c r="V95" s="1181"/>
      <c r="W95" s="1181"/>
      <c r="X95" s="1181"/>
      <c r="Y95" s="1181"/>
      <c r="Z95" s="1181"/>
      <c r="AA95" s="1181"/>
      <c r="AB95" s="1181"/>
      <c r="AC95" s="1181"/>
      <c r="AD95" s="1181"/>
      <c r="AE95" s="1181"/>
      <c r="AF95" s="1181"/>
      <c r="AG95" s="1181"/>
      <c r="AH95" s="1181"/>
      <c r="AI95" s="1181"/>
      <c r="AJ95" s="1181"/>
      <c r="AK95" s="1181"/>
      <c r="AL95" s="1181"/>
      <c r="AM95" s="1181"/>
      <c r="AN95" s="1181"/>
      <c r="AO95" s="1181"/>
      <c r="AP95" s="1181"/>
      <c r="AQ95" s="1181"/>
      <c r="AR95" s="1181"/>
      <c r="AS95" s="1181"/>
      <c r="AT95" s="1181"/>
      <c r="AU95" s="1181"/>
      <c r="AV95" s="1181"/>
      <c r="AW95" s="1181"/>
      <c r="AX95" s="1181"/>
      <c r="AY95" s="1182"/>
    </row>
    <row r="96" spans="1:51" x14ac:dyDescent="0.3">
      <c r="A96" s="1183" t="s">
        <v>3648</v>
      </c>
      <c r="B96" s="1184"/>
      <c r="C96" s="1184"/>
      <c r="D96" s="1184"/>
      <c r="E96" s="1184"/>
      <c r="F96" s="1184"/>
      <c r="G96" s="1184"/>
      <c r="H96" s="1184"/>
      <c r="I96" s="1184"/>
      <c r="J96" s="1184"/>
      <c r="K96" s="1184"/>
      <c r="L96" s="1184"/>
      <c r="M96" s="1184"/>
      <c r="N96" s="1184"/>
      <c r="O96" s="1184"/>
      <c r="P96" s="1184"/>
      <c r="Q96" s="1184"/>
      <c r="R96" s="1184"/>
      <c r="S96" s="1184"/>
      <c r="T96" s="1184"/>
      <c r="U96" s="1184"/>
      <c r="V96" s="1184"/>
      <c r="W96" s="1184"/>
      <c r="X96" s="1184"/>
      <c r="Y96" s="1184"/>
      <c r="Z96" s="1184"/>
      <c r="AA96" s="1184"/>
      <c r="AB96" s="1184"/>
      <c r="AC96" s="1184"/>
      <c r="AD96" s="1184"/>
      <c r="AE96" s="1184"/>
      <c r="AF96" s="1184"/>
      <c r="AG96" s="1184"/>
      <c r="AH96" s="1184"/>
      <c r="AI96" s="1184"/>
      <c r="AJ96" s="1184"/>
      <c r="AK96" s="1184"/>
      <c r="AL96" s="1184"/>
      <c r="AM96" s="1184"/>
      <c r="AN96" s="1184"/>
      <c r="AO96" s="1184"/>
      <c r="AP96" s="1184"/>
      <c r="AQ96" s="1184"/>
      <c r="AR96" s="1184"/>
      <c r="AS96" s="1184"/>
      <c r="AT96" s="1184"/>
      <c r="AU96" s="1184"/>
      <c r="AV96" s="1184"/>
      <c r="AW96" s="1184"/>
      <c r="AX96" s="1184"/>
      <c r="AY96" s="1185"/>
    </row>
    <row r="97" spans="1:51" x14ac:dyDescent="0.3">
      <c r="A97" s="1180" t="s">
        <v>3649</v>
      </c>
      <c r="B97" s="1181"/>
      <c r="C97" s="1181"/>
      <c r="D97" s="1181"/>
      <c r="E97" s="1181"/>
      <c r="F97" s="1181"/>
      <c r="G97" s="1181"/>
      <c r="H97" s="1181"/>
      <c r="I97" s="1181"/>
      <c r="J97" s="1181"/>
      <c r="K97" s="1181"/>
      <c r="L97" s="1181"/>
      <c r="M97" s="1181"/>
      <c r="N97" s="1181"/>
      <c r="O97" s="1181"/>
      <c r="P97" s="1181"/>
      <c r="Q97" s="1181"/>
      <c r="R97" s="1181"/>
      <c r="S97" s="1181"/>
      <c r="T97" s="1181"/>
      <c r="U97" s="1181"/>
      <c r="V97" s="1181"/>
      <c r="W97" s="1181"/>
      <c r="X97" s="1181"/>
      <c r="Y97" s="1181"/>
      <c r="Z97" s="1181"/>
      <c r="AA97" s="1181"/>
      <c r="AB97" s="1181"/>
      <c r="AC97" s="1181"/>
      <c r="AD97" s="1181"/>
      <c r="AE97" s="1181"/>
      <c r="AF97" s="1181"/>
      <c r="AG97" s="1181"/>
      <c r="AH97" s="1181"/>
      <c r="AI97" s="1181"/>
      <c r="AJ97" s="1181"/>
      <c r="AK97" s="1181"/>
      <c r="AL97" s="1181"/>
      <c r="AM97" s="1181"/>
      <c r="AN97" s="1181"/>
      <c r="AO97" s="1181"/>
      <c r="AP97" s="1181"/>
      <c r="AQ97" s="1181"/>
      <c r="AR97" s="1181"/>
      <c r="AS97" s="1181"/>
      <c r="AT97" s="1181"/>
      <c r="AU97" s="1181"/>
      <c r="AV97" s="1181"/>
      <c r="AW97" s="1181"/>
      <c r="AX97" s="1181"/>
      <c r="AY97" s="1182"/>
    </row>
    <row r="98" spans="1:51" x14ac:dyDescent="0.3">
      <c r="A98" s="1183" t="s">
        <v>3650</v>
      </c>
      <c r="B98" s="1184"/>
      <c r="C98" s="1184"/>
      <c r="D98" s="1184"/>
      <c r="E98" s="1184"/>
      <c r="F98" s="1184"/>
      <c r="G98" s="1184"/>
      <c r="H98" s="1184"/>
      <c r="I98" s="1184"/>
      <c r="J98" s="1184"/>
      <c r="K98" s="1184"/>
      <c r="L98" s="1184"/>
      <c r="M98" s="1184"/>
      <c r="N98" s="1184"/>
      <c r="O98" s="1184"/>
      <c r="P98" s="1184"/>
      <c r="Q98" s="1184"/>
      <c r="R98" s="1184"/>
      <c r="S98" s="1184"/>
      <c r="T98" s="1184"/>
      <c r="U98" s="1184"/>
      <c r="V98" s="1184"/>
      <c r="W98" s="1184"/>
      <c r="X98" s="1184"/>
      <c r="Y98" s="1184"/>
      <c r="Z98" s="1184"/>
      <c r="AA98" s="1184"/>
      <c r="AB98" s="1184"/>
      <c r="AC98" s="1184"/>
      <c r="AD98" s="1184"/>
      <c r="AE98" s="1184"/>
      <c r="AF98" s="1184"/>
      <c r="AG98" s="1184"/>
      <c r="AH98" s="1184"/>
      <c r="AI98" s="1184"/>
      <c r="AJ98" s="1184"/>
      <c r="AK98" s="1184"/>
      <c r="AL98" s="1184"/>
      <c r="AM98" s="1184"/>
      <c r="AN98" s="1184"/>
      <c r="AO98" s="1184"/>
      <c r="AP98" s="1184"/>
      <c r="AQ98" s="1184"/>
      <c r="AR98" s="1184"/>
      <c r="AS98" s="1184"/>
      <c r="AT98" s="1184"/>
      <c r="AU98" s="1184"/>
      <c r="AV98" s="1184"/>
      <c r="AW98" s="1184"/>
      <c r="AX98" s="1184"/>
      <c r="AY98" s="1185"/>
    </row>
    <row r="99" spans="1:51" x14ac:dyDescent="0.3">
      <c r="A99" s="1180" t="s">
        <v>3651</v>
      </c>
      <c r="B99" s="1181"/>
      <c r="C99" s="1181"/>
      <c r="D99" s="1181"/>
      <c r="E99" s="1181"/>
      <c r="F99" s="1181"/>
      <c r="G99" s="1181"/>
      <c r="H99" s="1181"/>
      <c r="I99" s="1181"/>
      <c r="J99" s="1181"/>
      <c r="K99" s="1181"/>
      <c r="L99" s="1181"/>
      <c r="M99" s="1181"/>
      <c r="N99" s="1181"/>
      <c r="O99" s="1181"/>
      <c r="P99" s="1181"/>
      <c r="Q99" s="1181"/>
      <c r="R99" s="1181"/>
      <c r="S99" s="1181"/>
      <c r="T99" s="1181"/>
      <c r="U99" s="1181"/>
      <c r="V99" s="1181"/>
      <c r="W99" s="1181"/>
      <c r="X99" s="1181"/>
      <c r="Y99" s="1181"/>
      <c r="Z99" s="1181"/>
      <c r="AA99" s="1181"/>
      <c r="AB99" s="1181"/>
      <c r="AC99" s="1181"/>
      <c r="AD99" s="1181"/>
      <c r="AE99" s="1181"/>
      <c r="AF99" s="1181"/>
      <c r="AG99" s="1181"/>
      <c r="AH99" s="1181"/>
      <c r="AI99" s="1181"/>
      <c r="AJ99" s="1181"/>
      <c r="AK99" s="1181"/>
      <c r="AL99" s="1181"/>
      <c r="AM99" s="1181"/>
      <c r="AN99" s="1181"/>
      <c r="AO99" s="1181"/>
      <c r="AP99" s="1181"/>
      <c r="AQ99" s="1181"/>
      <c r="AR99" s="1181"/>
      <c r="AS99" s="1181"/>
      <c r="AT99" s="1181"/>
      <c r="AU99" s="1181"/>
      <c r="AV99" s="1181"/>
      <c r="AW99" s="1181"/>
      <c r="AX99" s="1181"/>
      <c r="AY99" s="1182"/>
    </row>
    <row r="100" spans="1:51" x14ac:dyDescent="0.3">
      <c r="A100" s="1183" t="s">
        <v>3652</v>
      </c>
      <c r="B100" s="1184"/>
      <c r="C100" s="1184"/>
      <c r="D100" s="1184"/>
      <c r="E100" s="1184"/>
      <c r="F100" s="1184"/>
      <c r="G100" s="1184"/>
      <c r="H100" s="1184"/>
      <c r="I100" s="1184"/>
      <c r="J100" s="1184"/>
      <c r="K100" s="1184"/>
      <c r="L100" s="1184"/>
      <c r="M100" s="1184"/>
      <c r="N100" s="1184"/>
      <c r="O100" s="1184"/>
      <c r="P100" s="1184"/>
      <c r="Q100" s="1184"/>
      <c r="R100" s="1184"/>
      <c r="S100" s="1184"/>
      <c r="T100" s="1184"/>
      <c r="U100" s="1184"/>
      <c r="V100" s="1184"/>
      <c r="W100" s="1184"/>
      <c r="X100" s="1184"/>
      <c r="Y100" s="1184"/>
      <c r="Z100" s="1184"/>
      <c r="AA100" s="1184"/>
      <c r="AB100" s="1184"/>
      <c r="AC100" s="1184"/>
      <c r="AD100" s="1184"/>
      <c r="AE100" s="1184"/>
      <c r="AF100" s="1184"/>
      <c r="AG100" s="1184"/>
      <c r="AH100" s="1184"/>
      <c r="AI100" s="1184"/>
      <c r="AJ100" s="1184"/>
      <c r="AK100" s="1184"/>
      <c r="AL100" s="1184"/>
      <c r="AM100" s="1184"/>
      <c r="AN100" s="1184"/>
      <c r="AO100" s="1184"/>
      <c r="AP100" s="1184"/>
      <c r="AQ100" s="1184"/>
      <c r="AR100" s="1184"/>
      <c r="AS100" s="1184"/>
      <c r="AT100" s="1184"/>
      <c r="AU100" s="1184"/>
      <c r="AV100" s="1184"/>
      <c r="AW100" s="1184"/>
      <c r="AX100" s="1184"/>
      <c r="AY100" s="1185"/>
    </row>
    <row r="101" spans="1:51" x14ac:dyDescent="0.3">
      <c r="A101" s="1180" t="s">
        <v>3653</v>
      </c>
      <c r="B101" s="1181"/>
      <c r="C101" s="1181"/>
      <c r="D101" s="1181"/>
      <c r="E101" s="1181"/>
      <c r="F101" s="1181"/>
      <c r="G101" s="1181"/>
      <c r="H101" s="1181"/>
      <c r="I101" s="1181"/>
      <c r="J101" s="1181"/>
      <c r="K101" s="1181"/>
      <c r="L101" s="1181"/>
      <c r="M101" s="1181"/>
      <c r="N101" s="1181"/>
      <c r="O101" s="1181"/>
      <c r="P101" s="1181"/>
      <c r="Q101" s="1181"/>
      <c r="R101" s="1181"/>
      <c r="S101" s="1181"/>
      <c r="T101" s="1181"/>
      <c r="U101" s="1181"/>
      <c r="V101" s="1181"/>
      <c r="W101" s="1181"/>
      <c r="X101" s="1181"/>
      <c r="Y101" s="1181"/>
      <c r="Z101" s="1181"/>
      <c r="AA101" s="1181"/>
      <c r="AB101" s="1181"/>
      <c r="AC101" s="1181"/>
      <c r="AD101" s="1181"/>
      <c r="AE101" s="1181"/>
      <c r="AF101" s="1181"/>
      <c r="AG101" s="1181"/>
      <c r="AH101" s="1181"/>
      <c r="AI101" s="1181"/>
      <c r="AJ101" s="1181"/>
      <c r="AK101" s="1181"/>
      <c r="AL101" s="1181"/>
      <c r="AM101" s="1181"/>
      <c r="AN101" s="1181"/>
      <c r="AO101" s="1181"/>
      <c r="AP101" s="1181"/>
      <c r="AQ101" s="1181"/>
      <c r="AR101" s="1181"/>
      <c r="AS101" s="1181"/>
      <c r="AT101" s="1181"/>
      <c r="AU101" s="1181"/>
      <c r="AV101" s="1181"/>
      <c r="AW101" s="1181"/>
      <c r="AX101" s="1181"/>
      <c r="AY101" s="1182"/>
    </row>
    <row r="102" spans="1:51" x14ac:dyDescent="0.3">
      <c r="A102" s="1183" t="s">
        <v>3654</v>
      </c>
      <c r="B102" s="1184"/>
      <c r="C102" s="1184"/>
      <c r="D102" s="1184"/>
      <c r="E102" s="1184"/>
      <c r="F102" s="1184"/>
      <c r="G102" s="1184"/>
      <c r="H102" s="1184"/>
      <c r="I102" s="1184"/>
      <c r="J102" s="1184"/>
      <c r="K102" s="1184"/>
      <c r="L102" s="1184"/>
      <c r="M102" s="1184"/>
      <c r="N102" s="1184"/>
      <c r="O102" s="1184"/>
      <c r="P102" s="1184"/>
      <c r="Q102" s="1184"/>
      <c r="R102" s="1184"/>
      <c r="S102" s="1184"/>
      <c r="T102" s="1184"/>
      <c r="U102" s="1184"/>
      <c r="V102" s="1184"/>
      <c r="W102" s="1184"/>
      <c r="X102" s="1184"/>
      <c r="Y102" s="1184"/>
      <c r="Z102" s="1184"/>
      <c r="AA102" s="1184"/>
      <c r="AB102" s="1184"/>
      <c r="AC102" s="1184"/>
      <c r="AD102" s="1184"/>
      <c r="AE102" s="1184"/>
      <c r="AF102" s="1184"/>
      <c r="AG102" s="1184"/>
      <c r="AH102" s="1184"/>
      <c r="AI102" s="1184"/>
      <c r="AJ102" s="1184"/>
      <c r="AK102" s="1184"/>
      <c r="AL102" s="1184"/>
      <c r="AM102" s="1184"/>
      <c r="AN102" s="1184"/>
      <c r="AO102" s="1184"/>
      <c r="AP102" s="1184"/>
      <c r="AQ102" s="1184"/>
      <c r="AR102" s="1184"/>
      <c r="AS102" s="1184"/>
      <c r="AT102" s="1184"/>
      <c r="AU102" s="1184"/>
      <c r="AV102" s="1184"/>
      <c r="AW102" s="1184"/>
      <c r="AX102" s="1184"/>
      <c r="AY102" s="1185"/>
    </row>
    <row r="103" spans="1:51" x14ac:dyDescent="0.3">
      <c r="A103" s="1180" t="s">
        <v>3655</v>
      </c>
      <c r="B103" s="1181"/>
      <c r="C103" s="1181"/>
      <c r="D103" s="1181"/>
      <c r="E103" s="1181"/>
      <c r="F103" s="1181"/>
      <c r="G103" s="1181"/>
      <c r="H103" s="1181"/>
      <c r="I103" s="1181"/>
      <c r="J103" s="1181"/>
      <c r="K103" s="1181"/>
      <c r="L103" s="1181"/>
      <c r="M103" s="1181"/>
      <c r="N103" s="1181"/>
      <c r="O103" s="1181"/>
      <c r="P103" s="1181"/>
      <c r="Q103" s="1181"/>
      <c r="R103" s="1181"/>
      <c r="S103" s="1181"/>
      <c r="T103" s="1181"/>
      <c r="U103" s="1181"/>
      <c r="V103" s="1181"/>
      <c r="W103" s="1181"/>
      <c r="X103" s="1181"/>
      <c r="Y103" s="1181"/>
      <c r="Z103" s="1181"/>
      <c r="AA103" s="1181"/>
      <c r="AB103" s="1181"/>
      <c r="AC103" s="1181"/>
      <c r="AD103" s="1181"/>
      <c r="AE103" s="1181"/>
      <c r="AF103" s="1181"/>
      <c r="AG103" s="1181"/>
      <c r="AH103" s="1181"/>
      <c r="AI103" s="1181"/>
      <c r="AJ103" s="1181"/>
      <c r="AK103" s="1181"/>
      <c r="AL103" s="1181"/>
      <c r="AM103" s="1181"/>
      <c r="AN103" s="1181"/>
      <c r="AO103" s="1181"/>
      <c r="AP103" s="1181"/>
      <c r="AQ103" s="1181"/>
      <c r="AR103" s="1181"/>
      <c r="AS103" s="1181"/>
      <c r="AT103" s="1181"/>
      <c r="AU103" s="1181"/>
      <c r="AV103" s="1181"/>
      <c r="AW103" s="1181"/>
      <c r="AX103" s="1181"/>
      <c r="AY103" s="1182"/>
    </row>
    <row r="104" spans="1:51" x14ac:dyDescent="0.3">
      <c r="A104" s="1183" t="s">
        <v>3656</v>
      </c>
      <c r="B104" s="1184"/>
      <c r="C104" s="1184"/>
      <c r="D104" s="1184"/>
      <c r="E104" s="1184"/>
      <c r="F104" s="1184"/>
      <c r="G104" s="1184"/>
      <c r="H104" s="1184"/>
      <c r="I104" s="1184"/>
      <c r="J104" s="1184"/>
      <c r="K104" s="1184"/>
      <c r="L104" s="1184"/>
      <c r="M104" s="1184"/>
      <c r="N104" s="1184"/>
      <c r="O104" s="1184"/>
      <c r="P104" s="1184"/>
      <c r="Q104" s="1184"/>
      <c r="R104" s="1184"/>
      <c r="S104" s="1184"/>
      <c r="T104" s="1184"/>
      <c r="U104" s="1184"/>
      <c r="V104" s="1184"/>
      <c r="W104" s="1184"/>
      <c r="X104" s="1184"/>
      <c r="Y104" s="1184"/>
      <c r="Z104" s="1184"/>
      <c r="AA104" s="1184"/>
      <c r="AB104" s="1184"/>
      <c r="AC104" s="1184"/>
      <c r="AD104" s="1184"/>
      <c r="AE104" s="1184"/>
      <c r="AF104" s="1184"/>
      <c r="AG104" s="1184"/>
      <c r="AH104" s="1184"/>
      <c r="AI104" s="1184"/>
      <c r="AJ104" s="1184"/>
      <c r="AK104" s="1184"/>
      <c r="AL104" s="1184"/>
      <c r="AM104" s="1184"/>
      <c r="AN104" s="1184"/>
      <c r="AO104" s="1184"/>
      <c r="AP104" s="1184"/>
      <c r="AQ104" s="1184"/>
      <c r="AR104" s="1184"/>
      <c r="AS104" s="1184"/>
      <c r="AT104" s="1184"/>
      <c r="AU104" s="1184"/>
      <c r="AV104" s="1184"/>
      <c r="AW104" s="1184"/>
      <c r="AX104" s="1184"/>
      <c r="AY104" s="1185"/>
    </row>
    <row r="105" spans="1:51" x14ac:dyDescent="0.3">
      <c r="A105" s="1180" t="s">
        <v>3657</v>
      </c>
      <c r="B105" s="1181"/>
      <c r="C105" s="1181"/>
      <c r="D105" s="1181"/>
      <c r="E105" s="1181"/>
      <c r="F105" s="1181"/>
      <c r="G105" s="1181"/>
      <c r="H105" s="1181"/>
      <c r="I105" s="1181"/>
      <c r="J105" s="1181"/>
      <c r="K105" s="1181"/>
      <c r="L105" s="1181"/>
      <c r="M105" s="1181"/>
      <c r="N105" s="1181"/>
      <c r="O105" s="1181"/>
      <c r="P105" s="1181"/>
      <c r="Q105" s="1181"/>
      <c r="R105" s="1181"/>
      <c r="S105" s="1181"/>
      <c r="T105" s="1181"/>
      <c r="U105" s="1181"/>
      <c r="V105" s="1181"/>
      <c r="W105" s="1181"/>
      <c r="X105" s="1181"/>
      <c r="Y105" s="1181"/>
      <c r="Z105" s="1181"/>
      <c r="AA105" s="1181"/>
      <c r="AB105" s="1181"/>
      <c r="AC105" s="1181"/>
      <c r="AD105" s="1181"/>
      <c r="AE105" s="1181"/>
      <c r="AF105" s="1181"/>
      <c r="AG105" s="1181"/>
      <c r="AH105" s="1181"/>
      <c r="AI105" s="1181"/>
      <c r="AJ105" s="1181"/>
      <c r="AK105" s="1181"/>
      <c r="AL105" s="1181"/>
      <c r="AM105" s="1181"/>
      <c r="AN105" s="1181"/>
      <c r="AO105" s="1181"/>
      <c r="AP105" s="1181"/>
      <c r="AQ105" s="1181"/>
      <c r="AR105" s="1181"/>
      <c r="AS105" s="1181"/>
      <c r="AT105" s="1181"/>
      <c r="AU105" s="1181"/>
      <c r="AV105" s="1181"/>
      <c r="AW105" s="1181"/>
      <c r="AX105" s="1181"/>
      <c r="AY105" s="1182"/>
    </row>
    <row r="106" spans="1:51" x14ac:dyDescent="0.3">
      <c r="A106" s="1183" t="s">
        <v>3658</v>
      </c>
      <c r="B106" s="1184"/>
      <c r="C106" s="1184"/>
      <c r="D106" s="1184"/>
      <c r="E106" s="1184"/>
      <c r="F106" s="1184"/>
      <c r="G106" s="1184"/>
      <c r="H106" s="1184"/>
      <c r="I106" s="1184"/>
      <c r="J106" s="1184"/>
      <c r="K106" s="1184"/>
      <c r="L106" s="1184"/>
      <c r="M106" s="1184"/>
      <c r="N106" s="1184"/>
      <c r="O106" s="1184"/>
      <c r="P106" s="1184"/>
      <c r="Q106" s="1184"/>
      <c r="R106" s="1184"/>
      <c r="S106" s="1184"/>
      <c r="T106" s="1184"/>
      <c r="U106" s="1184"/>
      <c r="V106" s="1184"/>
      <c r="W106" s="1184"/>
      <c r="X106" s="1184"/>
      <c r="Y106" s="1184"/>
      <c r="Z106" s="1184"/>
      <c r="AA106" s="1184"/>
      <c r="AB106" s="1184"/>
      <c r="AC106" s="1184"/>
      <c r="AD106" s="1184"/>
      <c r="AE106" s="1184"/>
      <c r="AF106" s="1184"/>
      <c r="AG106" s="1184"/>
      <c r="AH106" s="1184"/>
      <c r="AI106" s="1184"/>
      <c r="AJ106" s="1184"/>
      <c r="AK106" s="1184"/>
      <c r="AL106" s="1184"/>
      <c r="AM106" s="1184"/>
      <c r="AN106" s="1184"/>
      <c r="AO106" s="1184"/>
      <c r="AP106" s="1184"/>
      <c r="AQ106" s="1184"/>
      <c r="AR106" s="1184"/>
      <c r="AS106" s="1184"/>
      <c r="AT106" s="1184"/>
      <c r="AU106" s="1184"/>
      <c r="AV106" s="1184"/>
      <c r="AW106" s="1184"/>
      <c r="AX106" s="1184"/>
      <c r="AY106" s="1185"/>
    </row>
    <row r="107" spans="1:51" x14ac:dyDescent="0.3">
      <c r="A107" s="1186" t="s">
        <v>3659</v>
      </c>
      <c r="B107" s="1187"/>
      <c r="C107" s="1187"/>
      <c r="D107" s="1187"/>
      <c r="E107" s="1187"/>
      <c r="F107" s="1187"/>
      <c r="G107" s="1187"/>
      <c r="H107" s="1187"/>
      <c r="I107" s="1187"/>
      <c r="J107" s="1187"/>
      <c r="K107" s="1187"/>
      <c r="L107" s="1187"/>
      <c r="M107" s="1187"/>
      <c r="N107" s="1187"/>
      <c r="O107" s="1187"/>
      <c r="P107" s="1187"/>
      <c r="Q107" s="1187"/>
      <c r="R107" s="1187"/>
      <c r="S107" s="1187"/>
      <c r="T107" s="1187"/>
      <c r="U107" s="1187"/>
      <c r="V107" s="1187"/>
      <c r="W107" s="1187"/>
      <c r="X107" s="1187"/>
      <c r="Y107" s="1187"/>
      <c r="Z107" s="1187"/>
      <c r="AA107" s="1187"/>
      <c r="AB107" s="1187"/>
      <c r="AC107" s="1187"/>
      <c r="AD107" s="1187"/>
      <c r="AE107" s="1187"/>
      <c r="AF107" s="1187"/>
      <c r="AG107" s="1187"/>
      <c r="AH107" s="1187"/>
      <c r="AI107" s="1187"/>
      <c r="AJ107" s="1187"/>
      <c r="AK107" s="1187"/>
      <c r="AL107" s="1187"/>
      <c r="AM107" s="1187"/>
      <c r="AN107" s="1187"/>
      <c r="AO107" s="1187"/>
      <c r="AP107" s="1187"/>
      <c r="AQ107" s="1187"/>
      <c r="AR107" s="1187"/>
      <c r="AS107" s="1187"/>
      <c r="AT107" s="1187"/>
      <c r="AU107" s="1187"/>
      <c r="AV107" s="1187"/>
      <c r="AW107" s="1187"/>
      <c r="AX107" s="1187"/>
      <c r="AY107" s="1188"/>
    </row>
    <row r="108" spans="1:51" ht="15" thickBot="1" x14ac:dyDescent="0.35">
      <c r="A108" s="1189" t="s">
        <v>3660</v>
      </c>
      <c r="B108" s="1190"/>
      <c r="C108" s="1190"/>
      <c r="D108" s="1190"/>
      <c r="E108" s="1190"/>
      <c r="F108" s="1190"/>
      <c r="G108" s="1190"/>
      <c r="H108" s="1190"/>
      <c r="I108" s="1190"/>
      <c r="J108" s="1190"/>
      <c r="K108" s="1190"/>
      <c r="L108" s="1190"/>
      <c r="M108" s="1190"/>
      <c r="N108" s="1190"/>
      <c r="O108" s="1190"/>
      <c r="P108" s="1190"/>
      <c r="Q108" s="1190"/>
      <c r="R108" s="1190"/>
      <c r="S108" s="1190"/>
      <c r="T108" s="1190"/>
      <c r="U108" s="1190"/>
      <c r="V108" s="1190"/>
      <c r="W108" s="1190"/>
      <c r="X108" s="1190"/>
      <c r="Y108" s="1190"/>
      <c r="Z108" s="1190"/>
      <c r="AA108" s="1190"/>
      <c r="AB108" s="1190"/>
      <c r="AC108" s="1190"/>
      <c r="AD108" s="1190"/>
      <c r="AE108" s="1190"/>
      <c r="AF108" s="1190"/>
      <c r="AG108" s="1190"/>
      <c r="AH108" s="1190"/>
      <c r="AI108" s="1190"/>
      <c r="AJ108" s="1190"/>
      <c r="AK108" s="1190"/>
      <c r="AL108" s="1190"/>
      <c r="AM108" s="1190"/>
      <c r="AN108" s="1190"/>
      <c r="AO108" s="1190"/>
      <c r="AP108" s="1190"/>
      <c r="AQ108" s="1190"/>
      <c r="AR108" s="1190"/>
      <c r="AS108" s="1190"/>
      <c r="AT108" s="1190"/>
      <c r="AU108" s="1190"/>
      <c r="AV108" s="1190"/>
      <c r="AW108" s="1190"/>
      <c r="AX108" s="1190"/>
      <c r="AY108" s="1191"/>
    </row>
  </sheetData>
  <sheetProtection algorithmName="SHA-512" hashValue="vTQWyWB/wtE74UzpCpPWDaw7gvedoQYm6Wr2W/JQ0cOBdioI1vYbiFK2IYoDj4pOJylDlRG8LTTneEE2e0S25A==" saltValue="NEMpPdDrJ6vW8X3Qi6YjkA==" spinCount="100000" sheet="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33:D38 D2:D5 E2:E10 D7:D30 E12:E61 C2:C61 D40:D61"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27" t="str">
        <f>template_label_unit_of_measurement_converter</f>
        <v>CONVERTITORE DI UNITÀ DI MISURA</v>
      </c>
      <c r="B1" s="1228"/>
      <c r="C1" s="1229"/>
    </row>
    <row r="2" spans="1:7" s="10" customFormat="1" ht="15" thickTop="1" x14ac:dyDescent="0.3">
      <c r="A2" s="18"/>
      <c r="B2" s="18"/>
      <c r="C2" s="18"/>
    </row>
    <row r="3" spans="1:7" ht="15" thickBot="1" x14ac:dyDescent="0.35">
      <c r="A3" s="10"/>
      <c r="B3" s="10"/>
      <c r="C3" s="10"/>
      <c r="D3" s="10"/>
    </row>
    <row r="4" spans="1:7" ht="15" thickBot="1" x14ac:dyDescent="0.35">
      <c r="A4" s="1224" t="str">
        <f>template_label_unit_of_measurement_of_mass_converter</f>
        <v>Unità di misura del convertitore di massa</v>
      </c>
      <c r="B4" s="1225"/>
      <c r="C4" s="1225"/>
      <c r="D4" s="1225"/>
      <c r="E4" s="50"/>
      <c r="G4" s="438" t="str">
        <f>template_label_usage_of_unit_of_measurement_converter</f>
        <v>Uso del convertitore di unità di misura</v>
      </c>
    </row>
    <row r="5" spans="1:7" ht="15" thickBot="1" x14ac:dyDescent="0.35">
      <c r="A5" s="43" t="str">
        <f>template_label_from_capital_case</f>
        <v>Da</v>
      </c>
      <c r="B5" s="175"/>
      <c r="C5" s="44" t="str">
        <f>template_label_to</f>
        <v>a</v>
      </c>
      <c r="D5" s="175"/>
      <c r="G5" s="396" t="str">
        <f>template_label_steps_to_follow_for_the_mass_table</f>
        <v>Passi da seguire per la tabella della massa:</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37" t="str">
        <f>template_label_1_in_the_cell_b5_of_the_table_related_to_the_unit_of_measurement_of_mass_converter</f>
        <v>1. Nella cella B5 della tabella relativa all'Unità di misura del Convertitore di Massa deve essere inserita l'Unità di misura da convertire.</v>
      </c>
    </row>
    <row r="7" spans="1:7" s="10" customFormat="1" ht="15" thickBot="1" x14ac:dyDescent="0.35">
      <c r="G7" s="437" t="str">
        <f>template_label_2_then_in_the_cell_b6_the_amount_of_mass_can_be_inserted</f>
        <v>2. Poi nella cella B6 può essere inserita la quantità di massa.</v>
      </c>
    </row>
    <row r="8" spans="1:7" s="10" customFormat="1" ht="15" thickBot="1" x14ac:dyDescent="0.35">
      <c r="A8" s="1224" t="str">
        <f>template_label_unit_of_measurement_of_volume_converter</f>
        <v>Unità di misura del convertitore di volume</v>
      </c>
      <c r="B8" s="1225"/>
      <c r="C8" s="1225"/>
      <c r="D8" s="1226"/>
      <c r="G8" s="437" t="str">
        <f>template_label_3_finally_in_the_cell_d5_there_should_be_the_unit_of_measurement_of_interest</f>
        <v>Infine, nella cella D5 dovrebbe esserci l'unità di misura di interesse.</v>
      </c>
    </row>
    <row r="9" spans="1:7" s="10" customFormat="1" ht="15" thickBot="1" x14ac:dyDescent="0.35">
      <c r="A9" s="43" t="str">
        <f>template_label_from_capital_case</f>
        <v>Da</v>
      </c>
      <c r="B9" s="175"/>
      <c r="C9" s="44" t="str">
        <f>template_label_to</f>
        <v>a</v>
      </c>
      <c r="D9" s="175"/>
      <c r="G9" s="437" t="str">
        <f>template_label_4_the_outcome_of_the_conversion_will_be_displayed_in_the_cell_d6</f>
        <v>L’esito della conversione sarà visualizzato nella cella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I passaggi da seguire per le altre tabelle (Volume, Consumo di energia, Densità e PCN) sono gli stessi della tabella della Massa.</v>
      </c>
    </row>
    <row r="11" spans="1:7" s="10" customFormat="1" ht="15" thickBot="1" x14ac:dyDescent="0.35">
      <c r="B11" s="23"/>
      <c r="D11" s="23"/>
      <c r="G11" s="10" t="str">
        <f>template_label_below_are_specified_all_the_units_of_measurement_conversions_of_each_table</f>
        <v>Di seguito sono specificate tutte le conversioni delle unità di misura di ciascuna tabella.</v>
      </c>
    </row>
    <row r="12" spans="1:7" s="10" customFormat="1" ht="15" customHeight="1" thickBot="1" x14ac:dyDescent="0.35">
      <c r="A12" s="1224" t="str">
        <f>template_label_unit_of_measurement_of_energy_consumption_per_hour</f>
        <v>Unità di misura del consumo di energia orario</v>
      </c>
      <c r="B12" s="1225"/>
      <c r="C12" s="1225"/>
      <c r="D12" s="1226"/>
      <c r="G12" s="396" t="str">
        <f>template_label_unit_of_measurement_of_mass_converter_list</f>
        <v>▪ Unità di misura del convertitore di massa:</v>
      </c>
    </row>
    <row r="13" spans="1:7" s="10" customFormat="1" ht="15" thickBot="1" x14ac:dyDescent="0.35">
      <c r="A13" s="43" t="str">
        <f>template_label_from_capital_case</f>
        <v>Da</v>
      </c>
      <c r="B13" s="175"/>
      <c r="C13" s="44" t="str">
        <f>template_label_to</f>
        <v>a</v>
      </c>
      <c r="D13" s="175"/>
      <c r="G13" s="437"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37" t="s">
        <v>4520</v>
      </c>
    </row>
    <row r="15" spans="1:7" s="10" customFormat="1" ht="15" thickBot="1" x14ac:dyDescent="0.35">
      <c r="G15" s="437" t="s">
        <v>4521</v>
      </c>
    </row>
    <row r="16" spans="1:7" s="10" customFormat="1" ht="15" thickBot="1" x14ac:dyDescent="0.35">
      <c r="A16" s="1224" t="str">
        <f>template_label_unit_of_measurement_of_density_converter</f>
        <v>Unità di misura del convertitore di densità</v>
      </c>
      <c r="B16" s="1225"/>
      <c r="C16" s="1225"/>
      <c r="D16" s="1226"/>
      <c r="G16" s="437" t="s">
        <v>4522</v>
      </c>
    </row>
    <row r="17" spans="1:7" s="10" customFormat="1" ht="15" thickBot="1" x14ac:dyDescent="0.35">
      <c r="A17" s="43" t="str">
        <f>template_label_from_capital_case</f>
        <v>Da</v>
      </c>
      <c r="B17" s="175"/>
      <c r="C17" s="44" t="str">
        <f>template_label_to</f>
        <v>a</v>
      </c>
      <c r="D17" s="175"/>
      <c r="G17" s="396" t="str">
        <f>template_label_unit_of_measurement_of_volume_converter_list</f>
        <v>▪ Unità di misura del convertitore di volume:</v>
      </c>
    </row>
    <row r="18" spans="1:7" s="10" customFormat="1" ht="15" thickBot="1" x14ac:dyDescent="0.35">
      <c r="B18" s="190"/>
      <c r="D18" s="21" t="str">
        <f>IF(OR(B17="",B16="",D17=""), "-", B18 * INDEX('Fuel Conversion Parameters'!L2:S9, MATCH(B17, 'Fuel Conversion Parameters'!K2:K9, 0), MATCH(D17, 'Fuel Conversion Parameters'!L1:S1, 0)))</f>
        <v>-</v>
      </c>
      <c r="G18" s="437" t="s">
        <v>4523</v>
      </c>
    </row>
    <row r="19" spans="1:7" s="10" customFormat="1" ht="15" thickBot="1" x14ac:dyDescent="0.35">
      <c r="G19" s="437" t="s">
        <v>4524</v>
      </c>
    </row>
    <row r="20" spans="1:7" s="10" customFormat="1" ht="15" customHeight="1" thickBot="1" x14ac:dyDescent="0.35">
      <c r="A20" s="1224" t="str">
        <f>template_label_unit_of_measurement_of_ncv_converter</f>
        <v>Unità di misura del convertitore PCN</v>
      </c>
      <c r="B20" s="1225"/>
      <c r="C20" s="1225"/>
      <c r="D20" s="1226"/>
      <c r="G20" s="396" t="str">
        <f>template_label_unit_of_measurement_of_energy_converter_list</f>
        <v>▪ Unità di misura del Convertitore di Energia:</v>
      </c>
    </row>
    <row r="21" spans="1:7" s="10" customFormat="1" ht="15" thickBot="1" x14ac:dyDescent="0.35">
      <c r="A21" s="43" t="str">
        <f>template_label_from_capital_case</f>
        <v>Da</v>
      </c>
      <c r="B21" s="175"/>
      <c r="C21" s="44" t="str">
        <f>template_label_to</f>
        <v>a</v>
      </c>
      <c r="D21" s="175"/>
      <c r="G21" s="437" t="s">
        <v>4525</v>
      </c>
    </row>
    <row r="22" spans="1:7" s="10" customFormat="1" ht="15" thickBot="1" x14ac:dyDescent="0.35">
      <c r="B22" s="190"/>
      <c r="D22" s="24" t="str">
        <f>IF(OR(B21="",B22="",D21=""), "-", B22 * INDEX('Fuel Conversion Parameters'!V2:AK13, MATCH(B21, 'Fuel Conversion Parameters'!U2:U13, 0), MATCH(D21, 'Fuel Conversion Parameters'!V1:AK1, 0)))</f>
        <v>-</v>
      </c>
      <c r="G22" s="437" t="s">
        <v>4526</v>
      </c>
    </row>
    <row r="23" spans="1:7" s="10" customFormat="1" x14ac:dyDescent="0.3">
      <c r="G23" s="396" t="str">
        <f>template_label_unit_of_measurement_of_density_converter_list</f>
        <v>▪ Unità di misura del convertitore di densità:</v>
      </c>
    </row>
    <row r="24" spans="1:7" s="10" customFormat="1" x14ac:dyDescent="0.3">
      <c r="G24" s="437" t="s">
        <v>2940</v>
      </c>
    </row>
    <row r="25" spans="1:7" s="10" customFormat="1" x14ac:dyDescent="0.3">
      <c r="G25" s="437" t="s">
        <v>2941</v>
      </c>
    </row>
    <row r="26" spans="1:7" s="10" customFormat="1" x14ac:dyDescent="0.3">
      <c r="G26" s="437" t="s">
        <v>2942</v>
      </c>
    </row>
    <row r="27" spans="1:7" s="10" customFormat="1" x14ac:dyDescent="0.3">
      <c r="G27" s="437" t="s">
        <v>2943</v>
      </c>
    </row>
    <row r="28" spans="1:7" s="10" customFormat="1" x14ac:dyDescent="0.3">
      <c r="G28" s="437" t="s">
        <v>2944</v>
      </c>
    </row>
    <row r="29" spans="1:7" s="10" customFormat="1" x14ac:dyDescent="0.3">
      <c r="G29" s="437" t="s">
        <v>2945</v>
      </c>
    </row>
    <row r="30" spans="1:7" s="10" customFormat="1" x14ac:dyDescent="0.3">
      <c r="G30" s="437" t="s">
        <v>2946</v>
      </c>
    </row>
    <row r="31" spans="1:7" s="10" customFormat="1" x14ac:dyDescent="0.3">
      <c r="G31" s="437" t="s">
        <v>2947</v>
      </c>
    </row>
    <row r="32" spans="1:7" s="10" customFormat="1" x14ac:dyDescent="0.3">
      <c r="G32" s="396" t="str">
        <f>template_label_unit_of_measurement_of_ncv_converter_list</f>
        <v>▪ Unità di misura del convertitore PCN:</v>
      </c>
    </row>
    <row r="33" spans="7:7" s="10" customFormat="1" x14ac:dyDescent="0.3">
      <c r="G33" s="437" t="s">
        <v>2948</v>
      </c>
    </row>
    <row r="34" spans="7:7" s="10" customFormat="1" x14ac:dyDescent="0.3">
      <c r="G34" s="437" t="s">
        <v>2949</v>
      </c>
    </row>
    <row r="35" spans="7:7" s="10" customFormat="1" x14ac:dyDescent="0.3">
      <c r="G35" s="437" t="s">
        <v>2950</v>
      </c>
    </row>
    <row r="36" spans="7:7" s="10" customFormat="1" x14ac:dyDescent="0.3">
      <c r="G36" s="437" t="s">
        <v>2951</v>
      </c>
    </row>
    <row r="37" spans="7:7" s="10" customFormat="1" x14ac:dyDescent="0.3">
      <c r="G37" s="437" t="s">
        <v>3020</v>
      </c>
    </row>
    <row r="38" spans="7:7" s="10" customFormat="1" x14ac:dyDescent="0.3">
      <c r="G38" s="437" t="s">
        <v>3021</v>
      </c>
    </row>
    <row r="39" spans="7:7" s="10" customFormat="1" x14ac:dyDescent="0.3">
      <c r="G39" s="437" t="s">
        <v>3022</v>
      </c>
    </row>
    <row r="40" spans="7:7" s="10" customFormat="1" x14ac:dyDescent="0.3">
      <c r="G40" s="437" t="s">
        <v>3023</v>
      </c>
    </row>
    <row r="41" spans="7:7" s="10" customFormat="1" x14ac:dyDescent="0.3">
      <c r="G41" s="437" t="s">
        <v>2952</v>
      </c>
    </row>
    <row r="42" spans="7:7" s="10" customFormat="1" x14ac:dyDescent="0.3">
      <c r="G42" s="437" t="s">
        <v>2953</v>
      </c>
    </row>
    <row r="43" spans="7:7" s="10" customFormat="1" x14ac:dyDescent="0.3">
      <c r="G43" s="437" t="s">
        <v>2954</v>
      </c>
    </row>
    <row r="44" spans="7:7" s="10" customFormat="1" x14ac:dyDescent="0.3">
      <c r="G44" s="437" t="s">
        <v>2955</v>
      </c>
    </row>
    <row r="45" spans="7:7" s="10" customFormat="1" x14ac:dyDescent="0.3">
      <c r="G45" s="437" t="s">
        <v>2956</v>
      </c>
    </row>
    <row r="46" spans="7:7" s="10" customFormat="1" x14ac:dyDescent="0.3">
      <c r="G46" s="437" t="s">
        <v>2957</v>
      </c>
    </row>
    <row r="47" spans="7:7" s="10" customFormat="1" x14ac:dyDescent="0.3">
      <c r="G47" s="437" t="s">
        <v>2958</v>
      </c>
    </row>
    <row r="48" spans="7:7" s="10" customFormat="1" x14ac:dyDescent="0.3">
      <c r="G48" s="437" t="s">
        <v>2959</v>
      </c>
    </row>
    <row r="49" spans="7:7" s="10" customFormat="1" x14ac:dyDescent="0.3"/>
    <row r="50" spans="7:7" s="10" customFormat="1" x14ac:dyDescent="0.3">
      <c r="G50" s="436"/>
    </row>
    <row r="51" spans="7:7" s="10" customFormat="1" x14ac:dyDescent="0.3"/>
    <row r="52" spans="7:7" s="10" customFormat="1" x14ac:dyDescent="0.3">
      <c r="G52" s="436"/>
    </row>
    <row r="53" spans="7:7" s="10" customFormat="1" x14ac:dyDescent="0.3"/>
    <row r="54" spans="7:7" s="10" customFormat="1" x14ac:dyDescent="0.3">
      <c r="G54" s="436"/>
    </row>
    <row r="55" spans="7:7" s="10" customFormat="1" x14ac:dyDescent="0.3"/>
    <row r="56" spans="7:7" s="10" customFormat="1" x14ac:dyDescent="0.3">
      <c r="G56" s="436"/>
    </row>
    <row r="57" spans="7:7" s="10" customFormat="1" x14ac:dyDescent="0.3"/>
    <row r="58" spans="7:7" s="10" customFormat="1" x14ac:dyDescent="0.3">
      <c r="G58" s="436"/>
    </row>
    <row r="59" spans="7:7" s="10" customFormat="1" x14ac:dyDescent="0.3"/>
    <row r="60" spans="7:7" s="10" customFormat="1" x14ac:dyDescent="0.3">
      <c r="G60" s="436"/>
    </row>
    <row r="61" spans="7:7" s="10" customFormat="1" x14ac:dyDescent="0.3"/>
    <row r="62" spans="7:7" s="10" customFormat="1" x14ac:dyDescent="0.3">
      <c r="G62" s="436"/>
    </row>
    <row r="63" spans="7:7" s="10" customFormat="1" x14ac:dyDescent="0.3"/>
    <row r="64" spans="7:7" s="10" customFormat="1" x14ac:dyDescent="0.3">
      <c r="G64" s="436"/>
    </row>
    <row r="65" spans="7:7" s="10" customFormat="1" x14ac:dyDescent="0.3"/>
    <row r="66" spans="7:7" s="10" customFormat="1" x14ac:dyDescent="0.3">
      <c r="G66" s="436"/>
    </row>
    <row r="67" spans="7:7" s="10" customFormat="1" x14ac:dyDescent="0.3"/>
    <row r="68" spans="7:7" s="10" customFormat="1" x14ac:dyDescent="0.3">
      <c r="G68" s="436"/>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6463</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6463</v>
      </c>
      <c r="I3" t="s">
        <v>2727</v>
      </c>
      <c r="J3" t="s">
        <v>2731</v>
      </c>
      <c r="K3" t="s">
        <v>4658</v>
      </c>
      <c r="L3" t="s">
        <v>2654</v>
      </c>
      <c r="M3" t="s">
        <v>2761</v>
      </c>
      <c r="N3" t="s">
        <v>2878</v>
      </c>
      <c r="O3" t="s">
        <v>2892</v>
      </c>
      <c r="P3" t="s">
        <v>3554</v>
      </c>
      <c r="Q3" t="s">
        <v>2907</v>
      </c>
      <c r="R3" t="s">
        <v>2651</v>
      </c>
      <c r="S3">
        <v>2001</v>
      </c>
      <c r="T3">
        <v>2</v>
      </c>
      <c r="U3" t="s">
        <v>3044</v>
      </c>
      <c r="V3" t="s">
        <v>6464</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6464</v>
      </c>
      <c r="I4" t="s">
        <v>2726</v>
      </c>
      <c r="K4" t="s">
        <v>4659</v>
      </c>
      <c r="L4" t="s">
        <v>2752</v>
      </c>
      <c r="M4" t="s">
        <v>3553</v>
      </c>
      <c r="N4" t="s">
        <v>2879</v>
      </c>
      <c r="O4" t="s">
        <v>2893</v>
      </c>
      <c r="R4" t="s">
        <v>2908</v>
      </c>
      <c r="S4">
        <v>2002</v>
      </c>
      <c r="T4">
        <v>3</v>
      </c>
      <c r="V4" t="s">
        <v>6465</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6465</v>
      </c>
      <c r="I5" t="s">
        <v>2725</v>
      </c>
      <c r="K5" t="s">
        <v>4660</v>
      </c>
      <c r="L5" t="s">
        <v>2753</v>
      </c>
      <c r="O5" t="s">
        <v>2894</v>
      </c>
      <c r="S5">
        <v>2003</v>
      </c>
      <c r="T5">
        <v>4</v>
      </c>
      <c r="V5" t="s">
        <v>6466</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6466</v>
      </c>
      <c r="I6" t="s">
        <v>3509</v>
      </c>
      <c r="K6" t="s">
        <v>4661</v>
      </c>
      <c r="L6" t="s">
        <v>2754</v>
      </c>
      <c r="O6" t="s">
        <v>2895</v>
      </c>
      <c r="S6">
        <v>2004</v>
      </c>
      <c r="T6">
        <v>5</v>
      </c>
      <c r="V6" t="s">
        <v>6467</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6467</v>
      </c>
      <c r="I7" t="s">
        <v>2724</v>
      </c>
      <c r="K7" t="s">
        <v>4662</v>
      </c>
      <c r="O7" t="s">
        <v>2896</v>
      </c>
      <c r="S7">
        <v>2005</v>
      </c>
      <c r="T7">
        <v>6</v>
      </c>
      <c r="V7" t="s">
        <v>6468</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6468</v>
      </c>
      <c r="I8" t="s">
        <v>2723</v>
      </c>
      <c r="K8" t="s">
        <v>4663</v>
      </c>
      <c r="O8" t="s">
        <v>2652</v>
      </c>
      <c r="S8">
        <v>2006</v>
      </c>
      <c r="T8">
        <v>7</v>
      </c>
      <c r="V8" t="s">
        <v>6469</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6469</v>
      </c>
      <c r="I9" t="s">
        <v>2722</v>
      </c>
      <c r="K9" t="s">
        <v>4664</v>
      </c>
      <c r="O9" t="s">
        <v>2897</v>
      </c>
      <c r="S9">
        <v>2007</v>
      </c>
      <c r="T9">
        <v>8</v>
      </c>
      <c r="V9" t="s">
        <v>6470</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6470</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6471</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6471</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6472</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6472</v>
      </c>
      <c r="I15" t="s">
        <v>2717</v>
      </c>
      <c r="K15" t="s">
        <v>4670</v>
      </c>
      <c r="S15">
        <v>2013</v>
      </c>
      <c r="V15" t="s">
        <v>6473</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6473</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6474</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6474</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62"/>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62"/>
      <c r="I24" t="s">
        <v>3513</v>
      </c>
      <c r="K24" t="s">
        <v>4679</v>
      </c>
      <c r="S24">
        <v>2022</v>
      </c>
      <c r="V24" s="462"/>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62"/>
      <c r="I25" t="s">
        <v>3525</v>
      </c>
      <c r="K25" t="s">
        <v>4680</v>
      </c>
      <c r="S25">
        <v>2023</v>
      </c>
      <c r="V25" s="462"/>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62"/>
      <c r="I26" t="s">
        <v>2711</v>
      </c>
      <c r="K26" t="s">
        <v>4681</v>
      </c>
      <c r="S26">
        <v>2024</v>
      </c>
      <c r="V26" s="462"/>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62"/>
      <c r="I27" t="s">
        <v>2710</v>
      </c>
      <c r="K27" t="s">
        <v>4682</v>
      </c>
      <c r="S27">
        <v>2025</v>
      </c>
      <c r="V27" s="462"/>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62"/>
      <c r="I28" t="s">
        <v>3527</v>
      </c>
      <c r="K28" t="s">
        <v>4683</v>
      </c>
      <c r="S28">
        <v>2026</v>
      </c>
      <c r="V28" s="462"/>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62"/>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62"/>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62"/>
      <c r="I31" t="s">
        <v>2707</v>
      </c>
      <c r="K31" t="s">
        <v>4638</v>
      </c>
      <c r="S31">
        <v>2029</v>
      </c>
      <c r="V31" s="461"/>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61"/>
      <c r="I32" t="s">
        <v>2706</v>
      </c>
      <c r="K32" t="s">
        <v>4686</v>
      </c>
      <c r="S32">
        <v>2030</v>
      </c>
      <c r="V32" s="461"/>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61"/>
      <c r="I33" t="s">
        <v>2705</v>
      </c>
      <c r="K33" t="s">
        <v>4687</v>
      </c>
      <c r="S33">
        <v>2031</v>
      </c>
      <c r="V33" s="461"/>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61"/>
      <c r="I34" t="s">
        <v>2704</v>
      </c>
      <c r="K34" t="s">
        <v>4688</v>
      </c>
      <c r="S34">
        <v>2032</v>
      </c>
      <c r="V34" s="462"/>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62"/>
      <c r="I35" t="s">
        <v>2703</v>
      </c>
      <c r="K35" t="s">
        <v>4689</v>
      </c>
      <c r="S35">
        <v>2033</v>
      </c>
      <c r="V35" s="462"/>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62"/>
      <c r="I36" t="s">
        <v>2702</v>
      </c>
      <c r="K36" t="s">
        <v>4690</v>
      </c>
      <c r="S36">
        <v>2034</v>
      </c>
      <c r="V36" s="462"/>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62"/>
      <c r="I37" t="s">
        <v>2701</v>
      </c>
      <c r="K37" t="s">
        <v>4691</v>
      </c>
      <c r="S37">
        <v>2035</v>
      </c>
      <c r="V37" s="462"/>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62"/>
      <c r="I38" t="s">
        <v>3526</v>
      </c>
      <c r="K38" t="s">
        <v>4692</v>
      </c>
      <c r="S38">
        <v>2036</v>
      </c>
      <c r="V38" s="462"/>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62"/>
      <c r="I39" t="s">
        <v>3514</v>
      </c>
      <c r="K39" t="s">
        <v>4693</v>
      </c>
      <c r="S39">
        <v>2037</v>
      </c>
      <c r="V39" s="462"/>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62"/>
      <c r="I40" t="s">
        <v>3515</v>
      </c>
      <c r="K40" t="s">
        <v>4694</v>
      </c>
      <c r="S40">
        <v>2038</v>
      </c>
      <c r="V40" s="462"/>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62"/>
      <c r="I41" t="s">
        <v>2700</v>
      </c>
      <c r="K41" t="s">
        <v>4695</v>
      </c>
      <c r="S41">
        <v>2039</v>
      </c>
      <c r="V41" s="462"/>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62"/>
      <c r="I42" t="s">
        <v>2699</v>
      </c>
      <c r="K42" t="s">
        <v>4696</v>
      </c>
      <c r="S42">
        <v>2040</v>
      </c>
      <c r="V42" s="462"/>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62"/>
      <c r="I43" t="s">
        <v>2698</v>
      </c>
      <c r="K43" t="s">
        <v>4697</v>
      </c>
      <c r="S43">
        <v>2041</v>
      </c>
      <c r="V43" s="462"/>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62"/>
      <c r="I44" t="s">
        <v>2697</v>
      </c>
      <c r="K44" t="s">
        <v>4698</v>
      </c>
      <c r="S44">
        <v>2042</v>
      </c>
      <c r="V44" s="462"/>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62"/>
      <c r="I45" t="s">
        <v>2696</v>
      </c>
      <c r="K45" t="s">
        <v>4699</v>
      </c>
      <c r="S45">
        <v>2043</v>
      </c>
      <c r="V45" s="462"/>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62"/>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62"/>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62"/>
      <c r="I48" t="s">
        <v>2694</v>
      </c>
      <c r="K48" t="s">
        <v>4702</v>
      </c>
      <c r="S48">
        <v>2046</v>
      </c>
      <c r="V48" s="461"/>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61"/>
      <c r="I49" t="s">
        <v>2693</v>
      </c>
      <c r="K49" t="s">
        <v>4703</v>
      </c>
      <c r="S49">
        <v>2047</v>
      </c>
      <c r="V49" s="462"/>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62"/>
      <c r="I50" t="s">
        <v>2692</v>
      </c>
      <c r="K50" t="s">
        <v>4704</v>
      </c>
      <c r="S50">
        <v>2048</v>
      </c>
      <c r="V50" s="462"/>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62"/>
      <c r="I51" t="s">
        <v>2691</v>
      </c>
      <c r="K51" t="s">
        <v>4705</v>
      </c>
      <c r="S51">
        <v>2049</v>
      </c>
      <c r="V51" s="462"/>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62"/>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62"/>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62"/>
      <c r="I54" t="s">
        <v>3517</v>
      </c>
      <c r="K54" t="s">
        <v>4708</v>
      </c>
      <c r="S54">
        <v>2052</v>
      </c>
      <c r="V54" s="462"/>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62"/>
      <c r="I55" t="s">
        <v>2689</v>
      </c>
      <c r="K55" t="s">
        <v>4709</v>
      </c>
      <c r="S55">
        <v>2053</v>
      </c>
      <c r="V55" s="462"/>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62"/>
      <c r="I56" t="s">
        <v>2688</v>
      </c>
      <c r="K56" t="s">
        <v>4710</v>
      </c>
      <c r="S56">
        <v>2054</v>
      </c>
      <c r="V56" s="462"/>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62"/>
      <c r="I57" t="s">
        <v>2687</v>
      </c>
      <c r="K57" t="s">
        <v>4711</v>
      </c>
      <c r="S57">
        <v>2055</v>
      </c>
      <c r="V57" s="462"/>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62"/>
      <c r="I58" t="s">
        <v>3518</v>
      </c>
      <c r="K58" t="s">
        <v>4712</v>
      </c>
      <c r="S58">
        <v>2056</v>
      </c>
      <c r="V58" s="462"/>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62"/>
      <c r="I59" t="s">
        <v>2686</v>
      </c>
      <c r="K59" t="s">
        <v>4713</v>
      </c>
      <c r="S59">
        <v>2057</v>
      </c>
      <c r="V59" s="462"/>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62"/>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62"/>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62"/>
      <c r="I62" t="s">
        <v>2683</v>
      </c>
      <c r="K62" t="s">
        <v>4716</v>
      </c>
      <c r="S62">
        <v>2060</v>
      </c>
      <c r="V62" s="462"/>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62"/>
      <c r="I63" t="s">
        <v>2682</v>
      </c>
      <c r="K63" t="s">
        <v>4717</v>
      </c>
      <c r="S63">
        <v>2061</v>
      </c>
      <c r="V63" s="462"/>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62"/>
      <c r="I64" t="s">
        <v>3519</v>
      </c>
      <c r="K64" t="s">
        <v>4718</v>
      </c>
      <c r="S64">
        <v>2062</v>
      </c>
      <c r="V64" s="462"/>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62"/>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62"/>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62"/>
      <c r="I67" t="s">
        <v>2681</v>
      </c>
      <c r="K67" t="s">
        <v>4721</v>
      </c>
      <c r="S67">
        <v>2065</v>
      </c>
      <c r="V67" s="462"/>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62"/>
      <c r="I68" t="s">
        <v>2680</v>
      </c>
      <c r="K68" t="s">
        <v>4722</v>
      </c>
      <c r="S68">
        <v>2066</v>
      </c>
      <c r="V68" s="461"/>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61"/>
      <c r="I69" t="s">
        <v>2679</v>
      </c>
      <c r="K69" t="s">
        <v>4723</v>
      </c>
      <c r="S69">
        <v>2067</v>
      </c>
      <c r="V69" s="461"/>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61"/>
      <c r="I70" t="s">
        <v>2678</v>
      </c>
      <c r="K70" t="s">
        <v>4724</v>
      </c>
      <c r="S70">
        <v>2068</v>
      </c>
      <c r="V70" s="461"/>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61"/>
      <c r="I71" t="s">
        <v>2677</v>
      </c>
      <c r="K71" t="s">
        <v>4725</v>
      </c>
      <c r="S71">
        <v>2069</v>
      </c>
      <c r="V71" s="461"/>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61"/>
      <c r="I72" t="s">
        <v>3521</v>
      </c>
      <c r="K72" t="s">
        <v>4726</v>
      </c>
      <c r="S72">
        <v>2070</v>
      </c>
      <c r="V72" s="461"/>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61"/>
      <c r="I73" t="s">
        <v>2676</v>
      </c>
      <c r="K73" t="s">
        <v>4727</v>
      </c>
      <c r="S73">
        <v>2071</v>
      </c>
      <c r="V73" s="461"/>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61"/>
      <c r="I74" t="s">
        <v>2675</v>
      </c>
      <c r="K74" t="s">
        <v>4728</v>
      </c>
      <c r="S74">
        <v>2072</v>
      </c>
      <c r="V74" s="462"/>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62"/>
      <c r="I75" t="s">
        <v>2674</v>
      </c>
      <c r="K75" t="s">
        <v>4729</v>
      </c>
      <c r="S75">
        <v>2073</v>
      </c>
      <c r="V75" s="462"/>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62"/>
      <c r="I76" t="s">
        <v>2673</v>
      </c>
      <c r="K76" t="s">
        <v>4730</v>
      </c>
      <c r="S76">
        <v>2074</v>
      </c>
      <c r="V76" s="462"/>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62"/>
      <c r="I77" t="s">
        <v>2672</v>
      </c>
      <c r="K77" t="s">
        <v>4639</v>
      </c>
      <c r="S77">
        <v>2075</v>
      </c>
      <c r="V77" s="462"/>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62"/>
      <c r="I78" t="s">
        <v>2671</v>
      </c>
      <c r="K78" t="s">
        <v>4731</v>
      </c>
      <c r="S78">
        <v>2076</v>
      </c>
      <c r="V78" s="462"/>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62"/>
      <c r="I79" t="s">
        <v>2670</v>
      </c>
      <c r="K79" t="s">
        <v>4732</v>
      </c>
      <c r="S79">
        <v>2077</v>
      </c>
      <c r="V79" s="462"/>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62"/>
      <c r="I80" t="s">
        <v>3529</v>
      </c>
      <c r="K80" t="s">
        <v>4733</v>
      </c>
      <c r="S80">
        <v>2078</v>
      </c>
      <c r="V80" s="461"/>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61"/>
      <c r="I81" t="s">
        <v>2669</v>
      </c>
      <c r="K81" t="s">
        <v>4734</v>
      </c>
      <c r="S81">
        <v>2079</v>
      </c>
      <c r="V81" s="461"/>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61"/>
      <c r="I82" t="s">
        <v>2668</v>
      </c>
      <c r="K82" t="s">
        <v>4735</v>
      </c>
      <c r="S82">
        <v>2080</v>
      </c>
      <c r="V82" s="461"/>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61"/>
      <c r="I83" t="s">
        <v>3522</v>
      </c>
      <c r="K83" t="s">
        <v>4736</v>
      </c>
      <c r="S83">
        <v>2081</v>
      </c>
      <c r="V83" s="462"/>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62"/>
      <c r="I84" t="s">
        <v>2667</v>
      </c>
      <c r="K84" t="s">
        <v>4737</v>
      </c>
      <c r="S84">
        <v>2082</v>
      </c>
      <c r="V84" s="462"/>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62"/>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62"/>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62"/>
      <c r="I87" t="s">
        <v>2664</v>
      </c>
      <c r="K87" t="s">
        <v>4740</v>
      </c>
      <c r="S87">
        <v>2085</v>
      </c>
      <c r="V87" s="462"/>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62"/>
      <c r="I88" t="s">
        <v>3530</v>
      </c>
      <c r="K88" t="s">
        <v>4741</v>
      </c>
      <c r="S88">
        <v>2086</v>
      </c>
      <c r="V88" s="462"/>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62"/>
      <c r="I89" t="s">
        <v>2663</v>
      </c>
      <c r="K89" t="s">
        <v>4742</v>
      </c>
      <c r="S89">
        <v>2087</v>
      </c>
      <c r="V89" s="462"/>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62"/>
      <c r="I90" t="s">
        <v>2662</v>
      </c>
      <c r="K90" t="s">
        <v>4743</v>
      </c>
      <c r="S90">
        <v>2088</v>
      </c>
      <c r="V90" s="462"/>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62"/>
      <c r="I91" t="s">
        <v>2661</v>
      </c>
      <c r="K91" t="s">
        <v>4744</v>
      </c>
      <c r="S91">
        <v>2089</v>
      </c>
      <c r="V91" s="462"/>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62"/>
      <c r="I92" t="s">
        <v>2660</v>
      </c>
      <c r="K92" t="s">
        <v>4745</v>
      </c>
      <c r="S92">
        <v>2090</v>
      </c>
      <c r="V92" s="462"/>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62"/>
      <c r="I93" t="s">
        <v>2659</v>
      </c>
      <c r="K93" t="s">
        <v>4746</v>
      </c>
      <c r="S93">
        <v>2091</v>
      </c>
      <c r="V93" s="462"/>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62"/>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62"/>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62"/>
      <c r="K96" t="s">
        <v>4749</v>
      </c>
      <c r="S96">
        <v>2094</v>
      </c>
      <c r="V96" s="462"/>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62"/>
      <c r="K97" t="s">
        <v>4750</v>
      </c>
      <c r="S97">
        <v>2095</v>
      </c>
      <c r="V97" s="462"/>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62"/>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62"/>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62"/>
      <c r="K100" t="s">
        <v>4640</v>
      </c>
      <c r="S100">
        <v>2098</v>
      </c>
      <c r="V100" s="462"/>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62"/>
      <c r="K101" t="s">
        <v>4753</v>
      </c>
      <c r="S101">
        <v>2099</v>
      </c>
      <c r="V101" s="462"/>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62"/>
      <c r="K102" t="s">
        <v>4754</v>
      </c>
      <c r="S102">
        <v>2100</v>
      </c>
      <c r="V102" s="462"/>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62"/>
      <c r="K103" t="s">
        <v>4755</v>
      </c>
      <c r="V103" s="462"/>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62"/>
      <c r="K104" t="s">
        <v>4756</v>
      </c>
      <c r="V104" s="462"/>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62"/>
      <c r="K105" t="s">
        <v>4757</v>
      </c>
      <c r="V105" s="462"/>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62"/>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62"/>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62"/>
      <c r="K108" t="s">
        <v>4760</v>
      </c>
      <c r="V108" s="462"/>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62"/>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62"/>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62"/>
      <c r="K111" t="s">
        <v>4763</v>
      </c>
      <c r="V111" s="462"/>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62"/>
      <c r="K112" t="s">
        <v>4764</v>
      </c>
      <c r="V112" s="462"/>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62"/>
      <c r="K113" t="s">
        <v>4765</v>
      </c>
      <c r="V113" s="462"/>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62"/>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62"/>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62"/>
      <c r="K116" t="s">
        <v>4768</v>
      </c>
      <c r="V116" s="462"/>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62"/>
      <c r="K117" t="s">
        <v>4769</v>
      </c>
      <c r="V117" s="462"/>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62"/>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62"/>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62"/>
      <c r="K120" t="s">
        <v>4772</v>
      </c>
      <c r="V120" s="462"/>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62"/>
      <c r="K121" t="s">
        <v>4773</v>
      </c>
      <c r="V121" s="462"/>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62"/>
      <c r="K122" t="s">
        <v>4774</v>
      </c>
      <c r="V122" s="462"/>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62"/>
      <c r="K123" t="s">
        <v>4775</v>
      </c>
      <c r="V123" s="462"/>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62"/>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62"/>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62"/>
      <c r="K126" t="s">
        <v>4777</v>
      </c>
      <c r="V126" s="462"/>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62"/>
      <c r="K127" t="s">
        <v>4778</v>
      </c>
      <c r="V127" s="462"/>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62"/>
      <c r="K128" t="s">
        <v>4779</v>
      </c>
      <c r="V128" s="462"/>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62"/>
      <c r="K129" t="s">
        <v>4780</v>
      </c>
      <c r="V129" s="462"/>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62"/>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62"/>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62"/>
      <c r="K132" t="s">
        <v>4783</v>
      </c>
      <c r="V132" s="462"/>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62"/>
      <c r="K133" t="s">
        <v>4784</v>
      </c>
      <c r="V133" s="462"/>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62"/>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62"/>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62"/>
      <c r="K136" t="s">
        <v>4787</v>
      </c>
      <c r="V136" s="462"/>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62"/>
      <c r="K137" t="s">
        <v>4788</v>
      </c>
      <c r="V137" s="461"/>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61"/>
      <c r="K138" t="s">
        <v>4789</v>
      </c>
      <c r="V138" s="462"/>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62"/>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62"/>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62"/>
      <c r="K141" t="s">
        <v>4792</v>
      </c>
      <c r="V141" s="462"/>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62"/>
      <c r="K142" t="s">
        <v>4793</v>
      </c>
      <c r="V142" s="461"/>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61"/>
      <c r="K143" t="s">
        <v>4794</v>
      </c>
      <c r="V143" s="462"/>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62"/>
      <c r="K144" t="s">
        <v>4795</v>
      </c>
      <c r="V144" s="462"/>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62"/>
      <c r="K145" t="s">
        <v>4796</v>
      </c>
      <c r="V145" s="461"/>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61"/>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62"/>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62"/>
      <c r="K148" t="s">
        <v>4799</v>
      </c>
      <c r="V148" s="462"/>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62"/>
      <c r="K149" t="s">
        <v>4800</v>
      </c>
      <c r="V149" s="462"/>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62"/>
      <c r="K150" t="s">
        <v>4801</v>
      </c>
      <c r="V150" s="461"/>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61"/>
      <c r="K151" t="s">
        <v>4802</v>
      </c>
      <c r="V151" s="461"/>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61"/>
      <c r="K152" t="s">
        <v>4642</v>
      </c>
      <c r="V152" s="461"/>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61"/>
      <c r="K153" t="s">
        <v>4803</v>
      </c>
      <c r="V153" s="462"/>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62"/>
      <c r="K154" t="s">
        <v>4804</v>
      </c>
      <c r="V154" s="462"/>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62"/>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62"/>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62"/>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pane ySplit="1" topLeftCell="A457" activePane="bottomLeft" state="frozen"/>
      <selection activeCell="H1" sqref="H1"/>
      <selection pane="bottomLeft" activeCell="A464" sqref="A464"/>
    </sheetView>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5686</v>
      </c>
      <c r="D1" s="474" t="s">
        <v>8496</v>
      </c>
      <c r="E1" s="474" t="s">
        <v>8943</v>
      </c>
      <c r="F1" s="474" t="s">
        <v>7549</v>
      </c>
      <c r="G1" s="474" t="s">
        <v>8945</v>
      </c>
      <c r="H1" s="389" t="s">
        <v>7166</v>
      </c>
      <c r="I1" s="389" t="s">
        <v>6458</v>
      </c>
      <c r="J1" s="389" t="s">
        <v>7529</v>
      </c>
      <c r="K1" s="474" t="s">
        <v>6797</v>
      </c>
    </row>
    <row r="2" spans="1:11" s="433" customFormat="1" x14ac:dyDescent="0.3">
      <c r="A2" s="388"/>
      <c r="B2" s="85"/>
      <c r="C2" s="387" t="s">
        <v>3949</v>
      </c>
      <c r="D2" s="475" t="s">
        <v>8947</v>
      </c>
      <c r="E2" s="475" t="s">
        <v>8944</v>
      </c>
      <c r="F2" s="475" t="s">
        <v>4625</v>
      </c>
      <c r="G2" s="475" t="s">
        <v>8946</v>
      </c>
      <c r="H2" s="387" t="s">
        <v>4626</v>
      </c>
      <c r="I2" s="387" t="s">
        <v>4627</v>
      </c>
      <c r="J2" s="387" t="s">
        <v>4628</v>
      </c>
      <c r="K2" s="475" t="s">
        <v>4629</v>
      </c>
    </row>
    <row r="3" spans="1:11" ht="28.8" x14ac:dyDescent="0.3">
      <c r="A3" s="388"/>
      <c r="B3" s="392"/>
      <c r="C3" s="387" t="str">
        <f>C1&amp; " [" &amp;C2 &amp; "]"</f>
        <v>English - Official [en]</v>
      </c>
      <c r="D3" s="475" t="str">
        <f t="shared" ref="D3" si="0">D1&amp; " [" &amp;D2 &amp; "]"</f>
        <v>Danish - Reviewed translation by Danish Standard Setter [da]</v>
      </c>
      <c r="E3" s="475" t="str">
        <f>E1&amp; " [" &amp;E2 &amp; "]"</f>
        <v>French - Reviewed translation by French Standard Setter [fr]</v>
      </c>
      <c r="F3" s="475" t="str">
        <f t="shared" ref="F3" si="1">F1&amp; " [" &amp;F2 &amp; "]"</f>
        <v>German - Reviewed translation by German Standard Setter [de]</v>
      </c>
      <c r="G3" s="475"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75" t="str">
        <f t="shared" si="3"/>
        <v>Spanish - Reviewed translation by Spanish Standard Setter [es]</v>
      </c>
    </row>
    <row r="4" spans="1:11" s="89" customFormat="1" x14ac:dyDescent="0.3">
      <c r="A4" s="422" t="s">
        <v>5618</v>
      </c>
      <c r="B4" s="423" t="str">
        <f t="shared" ref="B4:B67" si="4">INDEX(C4:K4,MATCH(template_selected_display_language,$C$3:$K$3,0))</f>
        <v>Nome del soggetto che redige la relazione</v>
      </c>
      <c r="C4" s="89" t="s">
        <v>5611</v>
      </c>
      <c r="D4" s="470" t="s">
        <v>8020</v>
      </c>
      <c r="E4" s="470" t="s">
        <v>8498</v>
      </c>
      <c r="F4" s="471" t="s">
        <v>7550</v>
      </c>
      <c r="G4" s="89" t="s">
        <v>9059</v>
      </c>
      <c r="H4" s="89" t="s">
        <v>6798</v>
      </c>
      <c r="I4" s="89" t="s">
        <v>5899</v>
      </c>
      <c r="J4" s="89" t="s">
        <v>7175</v>
      </c>
      <c r="K4" s="456" t="s">
        <v>6515</v>
      </c>
    </row>
    <row r="5" spans="1:11" s="89" customFormat="1" x14ac:dyDescent="0.3">
      <c r="A5" s="422" t="s">
        <v>5615</v>
      </c>
      <c r="B5" s="423" t="str">
        <f t="shared" si="4"/>
        <v>Identificatore del soggetto</v>
      </c>
      <c r="C5" s="89" t="s">
        <v>5612</v>
      </c>
      <c r="D5" s="470" t="s">
        <v>8021</v>
      </c>
      <c r="E5" s="470" t="s">
        <v>8499</v>
      </c>
      <c r="F5" s="471" t="s">
        <v>7551</v>
      </c>
      <c r="G5" s="89" t="s">
        <v>9060</v>
      </c>
      <c r="H5" s="89" t="s">
        <v>6799</v>
      </c>
      <c r="I5" s="89" t="s">
        <v>5900</v>
      </c>
      <c r="J5" s="89" t="s">
        <v>7176</v>
      </c>
      <c r="K5" s="456" t="s">
        <v>5698</v>
      </c>
    </row>
    <row r="6" spans="1:11" s="89" customFormat="1" x14ac:dyDescent="0.3">
      <c r="A6" s="422" t="s">
        <v>5616</v>
      </c>
      <c r="B6" s="423" t="str">
        <f t="shared" si="4"/>
        <v>Codice di identificazione del soggetto</v>
      </c>
      <c r="C6" s="89" t="s">
        <v>5613</v>
      </c>
      <c r="D6" s="470" t="s">
        <v>8022</v>
      </c>
      <c r="E6" s="470" t="s">
        <v>8500</v>
      </c>
      <c r="F6" s="471" t="s">
        <v>7552</v>
      </c>
      <c r="G6" s="89" t="s">
        <v>9061</v>
      </c>
      <c r="H6" s="89" t="s">
        <v>6800</v>
      </c>
      <c r="I6" s="89" t="s">
        <v>6130</v>
      </c>
      <c r="J6" s="89" t="s">
        <v>7177</v>
      </c>
      <c r="K6" s="456" t="s">
        <v>6516</v>
      </c>
    </row>
    <row r="7" spans="1:11" s="89" customFormat="1" x14ac:dyDescent="0.3">
      <c r="A7" s="422" t="s">
        <v>5617</v>
      </c>
      <c r="B7" s="423" t="str">
        <f t="shared" si="4"/>
        <v>Valuta della relazione</v>
      </c>
      <c r="C7" s="89" t="s">
        <v>5614</v>
      </c>
      <c r="D7" s="470" t="s">
        <v>8023</v>
      </c>
      <c r="E7" s="470" t="s">
        <v>8501</v>
      </c>
      <c r="F7" s="471" t="s">
        <v>7553</v>
      </c>
      <c r="G7" s="89" t="s">
        <v>9062</v>
      </c>
      <c r="H7" s="89" t="s">
        <v>5986</v>
      </c>
      <c r="I7" s="89" t="s">
        <v>6131</v>
      </c>
      <c r="J7" s="89" t="s">
        <v>7178</v>
      </c>
      <c r="K7" s="456" t="s">
        <v>6498</v>
      </c>
    </row>
    <row r="8" spans="1:11" s="89" customFormat="1" x14ac:dyDescent="0.3">
      <c r="A8" s="422" t="s">
        <v>5620</v>
      </c>
      <c r="B8" s="423" t="str">
        <f t="shared" si="4"/>
        <v>Separatore decimale</v>
      </c>
      <c r="C8" s="89" t="s">
        <v>5619</v>
      </c>
      <c r="D8" s="470" t="s">
        <v>5619</v>
      </c>
      <c r="E8" s="470" t="s">
        <v>8502</v>
      </c>
      <c r="F8" s="471" t="s">
        <v>7554</v>
      </c>
      <c r="G8" s="89" t="s">
        <v>9063</v>
      </c>
      <c r="H8" s="89" t="s">
        <v>6801</v>
      </c>
      <c r="I8" s="89" t="s">
        <v>6065</v>
      </c>
      <c r="J8" s="89" t="s">
        <v>5699</v>
      </c>
      <c r="K8" s="456" t="s">
        <v>5699</v>
      </c>
    </row>
    <row r="9" spans="1:11" s="89" customFormat="1" ht="43.2" x14ac:dyDescent="0.3">
      <c r="A9" s="422" t="s">
        <v>5622</v>
      </c>
      <c r="B9" s="423" t="str">
        <f t="shared" si="4"/>
        <v>Periodo di riferimento</v>
      </c>
      <c r="C9" s="89" t="s">
        <v>5621</v>
      </c>
      <c r="D9" s="470" t="s">
        <v>8024</v>
      </c>
      <c r="E9" s="470" t="s">
        <v>8503</v>
      </c>
      <c r="F9" s="471" t="s">
        <v>7555</v>
      </c>
      <c r="G9" s="89" t="s">
        <v>9064</v>
      </c>
      <c r="H9" s="89" t="s">
        <v>6802</v>
      </c>
      <c r="I9" s="89" t="s">
        <v>5901</v>
      </c>
      <c r="J9" s="89" t="s">
        <v>5820</v>
      </c>
      <c r="K9" s="456" t="s">
        <v>6517</v>
      </c>
    </row>
    <row r="10" spans="1:11" s="89" customFormat="1" x14ac:dyDescent="0.3">
      <c r="A10" s="422" t="s">
        <v>5624</v>
      </c>
      <c r="B10" s="423" t="str">
        <f t="shared" si="4"/>
        <v>Relazione generata</v>
      </c>
      <c r="C10" s="89" t="s">
        <v>5623</v>
      </c>
      <c r="D10" s="470" t="s">
        <v>8025</v>
      </c>
      <c r="E10" s="470" t="s">
        <v>8504</v>
      </c>
      <c r="F10" s="471" t="s">
        <v>7556</v>
      </c>
      <c r="G10" s="89" t="s">
        <v>9065</v>
      </c>
      <c r="H10" s="89" t="s">
        <v>6803</v>
      </c>
      <c r="I10" s="89" t="s">
        <v>6132</v>
      </c>
      <c r="J10" s="89" t="s">
        <v>6082</v>
      </c>
      <c r="K10" s="456" t="s">
        <v>5700</v>
      </c>
    </row>
    <row r="11" spans="1:11" s="89" customFormat="1" ht="28.8" x14ac:dyDescent="0.3">
      <c r="A11" s="422" t="s">
        <v>5626</v>
      </c>
      <c r="B11" s="423" t="str">
        <f t="shared" si="4"/>
        <v>Tutte le informative sono relative al periodo di riferimento sopra indicato, a meno che non sia specificato diversamente.</v>
      </c>
      <c r="C11" s="89" t="s">
        <v>5625</v>
      </c>
      <c r="D11" s="470" t="s">
        <v>8026</v>
      </c>
      <c r="E11" s="470" t="s">
        <v>8505</v>
      </c>
      <c r="F11" s="471" t="s">
        <v>7557</v>
      </c>
      <c r="G11" s="89" t="s">
        <v>9066</v>
      </c>
      <c r="H11" s="89" t="s">
        <v>6804</v>
      </c>
      <c r="I11" s="89" t="s">
        <v>6133</v>
      </c>
      <c r="J11" s="89" t="s">
        <v>7179</v>
      </c>
      <c r="K11" s="456" t="s">
        <v>6518</v>
      </c>
    </row>
    <row r="12" spans="1:11" s="89" customFormat="1" ht="43.2" x14ac:dyDescent="0.3">
      <c r="A12" s="422" t="s">
        <v>5627</v>
      </c>
      <c r="B12" s="423" t="str">
        <f t="shared" si="4"/>
        <v>Sommario</v>
      </c>
      <c r="C12" s="89" t="s">
        <v>3662</v>
      </c>
      <c r="D12" s="470" t="s">
        <v>8027</v>
      </c>
      <c r="E12" s="470" t="s">
        <v>8506</v>
      </c>
      <c r="F12" s="471" t="s">
        <v>7558</v>
      </c>
      <c r="G12" s="89" t="s">
        <v>9067</v>
      </c>
      <c r="H12" s="89" t="s">
        <v>5987</v>
      </c>
      <c r="I12" s="89" t="s">
        <v>5902</v>
      </c>
      <c r="J12" s="89" t="s">
        <v>5821</v>
      </c>
      <c r="K12" s="456" t="s">
        <v>6519</v>
      </c>
    </row>
    <row r="13" spans="1:11" s="89" customFormat="1" x14ac:dyDescent="0.3">
      <c r="A13" s="422" t="s">
        <v>5629</v>
      </c>
      <c r="B13" s="423" t="str">
        <f t="shared" si="4"/>
        <v>Periodo di riferimento</v>
      </c>
      <c r="C13" s="89" t="s">
        <v>5628</v>
      </c>
      <c r="D13" s="470" t="s">
        <v>8028</v>
      </c>
      <c r="E13" s="470" t="s">
        <v>8507</v>
      </c>
      <c r="F13" s="471" t="s">
        <v>7559</v>
      </c>
      <c r="G13" s="89" t="s">
        <v>9064</v>
      </c>
      <c r="H13" s="89" t="s">
        <v>6805</v>
      </c>
      <c r="I13" s="89" t="s">
        <v>5901</v>
      </c>
      <c r="J13" s="89" t="s">
        <v>5822</v>
      </c>
      <c r="K13" s="456" t="s">
        <v>6520</v>
      </c>
    </row>
    <row r="14" spans="1:11" s="424" customFormat="1" ht="29.4" thickBot="1" x14ac:dyDescent="0.35">
      <c r="A14" s="434" t="s">
        <v>5631</v>
      </c>
      <c r="B14" s="457" t="str">
        <f t="shared" si="4"/>
        <v>Questa relazione contiene</v>
      </c>
      <c r="C14" s="424" t="s">
        <v>5630</v>
      </c>
      <c r="D14" s="478" t="s">
        <v>8029</v>
      </c>
      <c r="E14" s="478" t="s">
        <v>8508</v>
      </c>
      <c r="F14" s="472" t="s">
        <v>7560</v>
      </c>
      <c r="G14" s="424" t="s">
        <v>9068</v>
      </c>
      <c r="H14" s="424" t="s">
        <v>7531</v>
      </c>
      <c r="I14" s="424" t="s">
        <v>7528</v>
      </c>
      <c r="J14" s="424" t="s">
        <v>7527</v>
      </c>
      <c r="K14" s="476" t="s">
        <v>7530</v>
      </c>
    </row>
    <row r="15" spans="1:11" s="89" customFormat="1" x14ac:dyDescent="0.3">
      <c r="A15" s="422" t="s">
        <v>4467</v>
      </c>
      <c r="B15" s="423" t="str">
        <f t="shared" si="4"/>
        <v>Versione:</v>
      </c>
      <c r="C15" s="89" t="s">
        <v>2881</v>
      </c>
      <c r="D15" s="470" t="s">
        <v>2881</v>
      </c>
      <c r="E15" s="470" t="s">
        <v>8509</v>
      </c>
      <c r="F15" s="471" t="s">
        <v>2881</v>
      </c>
      <c r="G15" s="89" t="s">
        <v>9069</v>
      </c>
      <c r="H15" s="89" t="s">
        <v>6046</v>
      </c>
      <c r="I15" s="89" t="s">
        <v>6134</v>
      </c>
      <c r="J15" s="89" t="s">
        <v>5823</v>
      </c>
      <c r="K15" s="456" t="s">
        <v>5701</v>
      </c>
    </row>
    <row r="16" spans="1:11" x14ac:dyDescent="0.3">
      <c r="A16" s="422" t="s">
        <v>4468</v>
      </c>
      <c r="B16" s="423" t="str">
        <f t="shared" si="4"/>
        <v>Data di pubblicazione:</v>
      </c>
      <c r="C16" s="89" t="s">
        <v>2883</v>
      </c>
      <c r="D16" s="470" t="s">
        <v>8030</v>
      </c>
      <c r="E16" s="470" t="s">
        <v>8510</v>
      </c>
      <c r="F16" s="471" t="s">
        <v>7561</v>
      </c>
      <c r="G16" t="s">
        <v>9070</v>
      </c>
      <c r="H16" s="89" t="s">
        <v>6806</v>
      </c>
      <c r="I16" s="89" t="s">
        <v>5903</v>
      </c>
      <c r="J16" s="89" t="s">
        <v>6083</v>
      </c>
      <c r="K16" s="456" t="s">
        <v>5702</v>
      </c>
    </row>
    <row r="17" spans="1:11" x14ac:dyDescent="0.3">
      <c r="A17" s="422" t="s">
        <v>4469</v>
      </c>
      <c r="B17" s="423" t="str">
        <f t="shared" si="4"/>
        <v>Punto di accesso della tassonomia:</v>
      </c>
      <c r="C17" s="89" t="s">
        <v>3615</v>
      </c>
      <c r="D17" s="470" t="s">
        <v>8031</v>
      </c>
      <c r="E17" s="470" t="s">
        <v>8511</v>
      </c>
      <c r="F17" s="471" t="s">
        <v>7562</v>
      </c>
      <c r="G17" t="s">
        <v>9071</v>
      </c>
      <c r="H17" s="89" t="s">
        <v>6807</v>
      </c>
      <c r="I17" s="89" t="s">
        <v>6135</v>
      </c>
      <c r="J17" s="89" t="s">
        <v>7180</v>
      </c>
      <c r="K17" s="456" t="s">
        <v>6521</v>
      </c>
    </row>
    <row r="18" spans="1:11" x14ac:dyDescent="0.3">
      <c r="A18" s="422" t="s">
        <v>4470</v>
      </c>
      <c r="B18" s="423" t="str">
        <f t="shared" si="4"/>
        <v>Seleziona la lingua di visualizzazione del modello:</v>
      </c>
      <c r="C18" s="89" t="s">
        <v>4027</v>
      </c>
      <c r="D18" s="470" t="s">
        <v>8032</v>
      </c>
      <c r="E18" s="470" t="s">
        <v>8512</v>
      </c>
      <c r="F18" s="471" t="s">
        <v>7563</v>
      </c>
      <c r="G18" t="s">
        <v>9072</v>
      </c>
      <c r="H18" s="89" t="s">
        <v>6808</v>
      </c>
      <c r="I18" s="89" t="s">
        <v>5904</v>
      </c>
      <c r="J18" s="89" t="s">
        <v>7181</v>
      </c>
      <c r="K18" s="456" t="s">
        <v>6522</v>
      </c>
    </row>
    <row r="19" spans="1:11" x14ac:dyDescent="0.3">
      <c r="A19" s="422" t="s">
        <v>6104</v>
      </c>
      <c r="B19" s="423" t="str">
        <f t="shared" si="4"/>
        <v>Titolo principale della relazione</v>
      </c>
      <c r="C19" s="89" t="s">
        <v>4633</v>
      </c>
      <c r="D19" s="470" t="s">
        <v>8033</v>
      </c>
      <c r="E19" s="470" t="s">
        <v>8513</v>
      </c>
      <c r="F19" s="471" t="s">
        <v>7564</v>
      </c>
      <c r="G19" t="s">
        <v>9073</v>
      </c>
      <c r="H19" s="89" t="s">
        <v>6105</v>
      </c>
      <c r="I19" s="89" t="s">
        <v>6136</v>
      </c>
      <c r="J19" s="89" t="s">
        <v>6106</v>
      </c>
      <c r="K19" s="456" t="s">
        <v>6107</v>
      </c>
    </row>
    <row r="20" spans="1:11" x14ac:dyDescent="0.3">
      <c r="A20" s="422" t="s">
        <v>6102</v>
      </c>
      <c r="B20" s="423" t="str">
        <f t="shared" si="4"/>
        <v xml:space="preserve">Relazione sulla sostenibilità
</v>
      </c>
      <c r="C20" s="89" t="s">
        <v>4634</v>
      </c>
      <c r="D20" s="470" t="s">
        <v>8034</v>
      </c>
      <c r="E20" s="470" t="s">
        <v>8514</v>
      </c>
      <c r="F20" s="471" t="s">
        <v>7565</v>
      </c>
      <c r="G20" t="s">
        <v>9074</v>
      </c>
      <c r="H20" s="89" t="s">
        <v>5988</v>
      </c>
      <c r="I20" s="89" t="s">
        <v>6137</v>
      </c>
      <c r="J20" s="89" t="s">
        <v>6084</v>
      </c>
      <c r="K20" s="456" t="s">
        <v>6523</v>
      </c>
    </row>
    <row r="21" spans="1:11" ht="43.2" x14ac:dyDescent="0.3">
      <c r="A21" s="422" t="s">
        <v>6108</v>
      </c>
      <c r="B21" s="423" t="str">
        <f t="shared" si="4"/>
        <v xml:space="preserve">Sottotitolo della relazione
</v>
      </c>
      <c r="C21" s="89" t="s">
        <v>4657</v>
      </c>
      <c r="D21" s="470" t="s">
        <v>8035</v>
      </c>
      <c r="E21" s="470" t="s">
        <v>8515</v>
      </c>
      <c r="F21" s="471" t="s">
        <v>7566</v>
      </c>
      <c r="G21" t="s">
        <v>9075</v>
      </c>
      <c r="H21" s="89" t="s">
        <v>6809</v>
      </c>
      <c r="I21" s="89" t="s">
        <v>6138</v>
      </c>
      <c r="J21" s="89" t="s">
        <v>6109</v>
      </c>
      <c r="K21" s="456" t="s">
        <v>6524</v>
      </c>
    </row>
    <row r="22" spans="1:11" ht="57.6" x14ac:dyDescent="0.3">
      <c r="A22" s="422" t="s">
        <v>6103</v>
      </c>
      <c r="B22" s="423" t="str">
        <f t="shared" si="4"/>
        <v>Redatto in conformità al principio volontario di rendicontazione di sostenibilità per le piccole e medie imprese (PMI) non quotate (VSME), pubblicato dalla Commissione Europea il 30 luglio 2025.</v>
      </c>
      <c r="C22" s="89" t="s">
        <v>6461</v>
      </c>
      <c r="D22" s="470" t="s">
        <v>8036</v>
      </c>
      <c r="E22" s="470" t="s">
        <v>8516</v>
      </c>
      <c r="F22" s="471" t="s">
        <v>7567</v>
      </c>
      <c r="G22" t="s">
        <v>9076</v>
      </c>
      <c r="H22" s="89" t="s">
        <v>7173</v>
      </c>
      <c r="I22" s="89" t="s">
        <v>7171</v>
      </c>
      <c r="J22" s="89" t="s">
        <v>7532</v>
      </c>
      <c r="K22" s="456" t="s">
        <v>7169</v>
      </c>
    </row>
    <row r="23" spans="1:11" x14ac:dyDescent="0.3">
      <c r="A23" s="422" t="s">
        <v>4471</v>
      </c>
      <c r="B23" s="423" t="str">
        <f t="shared" si="4"/>
        <v>Modello Digitale VSME</v>
      </c>
      <c r="C23" s="89" t="s">
        <v>3724</v>
      </c>
      <c r="D23" s="470" t="s">
        <v>8037</v>
      </c>
      <c r="E23" s="470" t="s">
        <v>8517</v>
      </c>
      <c r="F23" s="471" t="s">
        <v>7568</v>
      </c>
      <c r="G23" t="s">
        <v>9077</v>
      </c>
      <c r="H23" s="89" t="s">
        <v>6810</v>
      </c>
      <c r="I23" s="89" t="s">
        <v>6139</v>
      </c>
      <c r="J23" s="89" t="s">
        <v>6085</v>
      </c>
      <c r="K23" s="456" t="s">
        <v>6525</v>
      </c>
    </row>
    <row r="24" spans="1:11" ht="16.05" customHeight="1" x14ac:dyDescent="0.3">
      <c r="A24" s="422" t="s">
        <v>4472</v>
      </c>
      <c r="B24" s="423" t="str">
        <f t="shared" si="4"/>
        <v>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v>
      </c>
      <c r="C24" s="456" t="s">
        <v>5685</v>
      </c>
      <c r="D24" s="470" t="s">
        <v>8038</v>
      </c>
      <c r="E24" s="470" t="s">
        <v>8518</v>
      </c>
      <c r="F24" s="471" t="s">
        <v>7569</v>
      </c>
      <c r="G24" t="s">
        <v>9078</v>
      </c>
      <c r="H24" s="89" t="s">
        <v>6811</v>
      </c>
      <c r="I24" s="89" t="s">
        <v>6140</v>
      </c>
      <c r="J24" s="89" t="s">
        <v>7276</v>
      </c>
      <c r="K24" s="456" t="s">
        <v>6499</v>
      </c>
    </row>
    <row r="25" spans="1:11" x14ac:dyDescent="0.3">
      <c r="A25" s="422" t="s">
        <v>4473</v>
      </c>
      <c r="B25" s="423" t="str">
        <f t="shared" si="4"/>
        <v>Come usarlo:</v>
      </c>
      <c r="C25" s="89" t="s">
        <v>2882</v>
      </c>
      <c r="D25" s="470" t="s">
        <v>8039</v>
      </c>
      <c r="E25" s="470" t="s">
        <v>8519</v>
      </c>
      <c r="F25" s="471" t="s">
        <v>7570</v>
      </c>
      <c r="G25" t="s">
        <v>9079</v>
      </c>
      <c r="H25" s="89" t="s">
        <v>6812</v>
      </c>
      <c r="I25" s="89" t="s">
        <v>6141</v>
      </c>
      <c r="J25" s="89" t="s">
        <v>7182</v>
      </c>
      <c r="K25" s="456" t="s">
        <v>6526</v>
      </c>
    </row>
    <row r="26" spans="1:11" ht="28.8" x14ac:dyDescent="0.3">
      <c r="A26" s="422" t="s">
        <v>4474</v>
      </c>
      <c r="B26" s="423" t="str">
        <f t="shared" si="4"/>
        <v>0. Fornire le informazioni obbligatorie per poter generare la rendicontazione VSME e XBRL.</v>
      </c>
      <c r="C26" s="89" t="s">
        <v>3531</v>
      </c>
      <c r="D26" s="470" t="s">
        <v>8040</v>
      </c>
      <c r="E26" s="470" t="s">
        <v>8520</v>
      </c>
      <c r="F26" s="471" t="s">
        <v>7571</v>
      </c>
      <c r="G26" t="s">
        <v>9080</v>
      </c>
      <c r="H26" s="89" t="s">
        <v>6813</v>
      </c>
      <c r="I26" s="89" t="s">
        <v>6142</v>
      </c>
      <c r="J26" s="89" t="s">
        <v>7183</v>
      </c>
      <c r="K26" s="456" t="s">
        <v>6778</v>
      </c>
    </row>
    <row r="27" spans="1:11" ht="129.6" x14ac:dyDescent="0.3">
      <c r="A27" s="422" t="s">
        <v>4475</v>
      </c>
      <c r="B27" s="423" t="str">
        <f t="shared" si="4"/>
        <v>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v>
      </c>
      <c r="C27" s="89" t="s">
        <v>4466</v>
      </c>
      <c r="D27" s="470" t="s">
        <v>8041</v>
      </c>
      <c r="E27" s="470" t="s">
        <v>8521</v>
      </c>
      <c r="F27" s="471" t="s">
        <v>7572</v>
      </c>
      <c r="G27" t="s">
        <v>9081</v>
      </c>
      <c r="H27" s="89" t="s">
        <v>6814</v>
      </c>
      <c r="I27" s="89" t="s">
        <v>6143</v>
      </c>
      <c r="J27" s="89" t="s">
        <v>7516</v>
      </c>
      <c r="K27" s="456" t="s">
        <v>6779</v>
      </c>
    </row>
    <row r="28" spans="1:11" ht="86.4" x14ac:dyDescent="0.3">
      <c r="A28" s="422" t="s">
        <v>4491</v>
      </c>
      <c r="B28" s="423" t="str">
        <f t="shared" si="4"/>
        <v>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v>
      </c>
      <c r="C28" s="89" t="s">
        <v>3772</v>
      </c>
      <c r="D28" s="470" t="s">
        <v>8042</v>
      </c>
      <c r="E28" s="470" t="s">
        <v>8522</v>
      </c>
      <c r="F28" s="471" t="s">
        <v>7573</v>
      </c>
      <c r="G28" t="s">
        <v>9082</v>
      </c>
      <c r="H28" s="89" t="s">
        <v>6815</v>
      </c>
      <c r="I28" s="89" t="s">
        <v>6144</v>
      </c>
      <c r="J28" s="89" t="s">
        <v>7517</v>
      </c>
      <c r="K28" s="456" t="s">
        <v>6527</v>
      </c>
    </row>
    <row r="29" spans="1:11" ht="115.2" x14ac:dyDescent="0.3">
      <c r="A29" s="422" t="s">
        <v>4495</v>
      </c>
      <c r="B29" s="423" t="str">
        <f t="shared" si="4"/>
        <v>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v>
      </c>
      <c r="C29" s="89" t="s">
        <v>7542</v>
      </c>
      <c r="D29" s="470" t="s">
        <v>8043</v>
      </c>
      <c r="E29" s="470" t="s">
        <v>8523</v>
      </c>
      <c r="F29" s="471" t="s">
        <v>7574</v>
      </c>
      <c r="G29" t="s">
        <v>9083</v>
      </c>
      <c r="H29" s="89" t="s">
        <v>6816</v>
      </c>
      <c r="I29" s="89" t="s">
        <v>6145</v>
      </c>
      <c r="J29" s="89" t="s">
        <v>7518</v>
      </c>
      <c r="K29" s="456" t="s">
        <v>6780</v>
      </c>
    </row>
    <row r="30" spans="1:11" ht="86.4" x14ac:dyDescent="0.3">
      <c r="A30" s="422" t="s">
        <v>4492</v>
      </c>
      <c r="B30" s="423" t="str">
        <f t="shared" si="4"/>
        <v>4. Convalidare i dati inseriti controllando lo stato di convalida. La relazione è considerata incompleta o errata se la convalida fallisce, il che potrebbe comportare una relazione XBRL non valida.</v>
      </c>
      <c r="C30" s="89" t="s">
        <v>7543</v>
      </c>
      <c r="D30" s="470" t="s">
        <v>8044</v>
      </c>
      <c r="E30" s="470" t="s">
        <v>8524</v>
      </c>
      <c r="F30" s="471" t="s">
        <v>7575</v>
      </c>
      <c r="G30" t="s">
        <v>9084</v>
      </c>
      <c r="H30" s="89" t="s">
        <v>6817</v>
      </c>
      <c r="I30" s="89" t="s">
        <v>6146</v>
      </c>
      <c r="J30" s="89" t="s">
        <v>7184</v>
      </c>
      <c r="K30" s="456" t="s">
        <v>6528</v>
      </c>
    </row>
    <row r="31" spans="1:11" ht="57.6" x14ac:dyDescent="0.3">
      <c r="A31" s="422" t="s">
        <v>4493</v>
      </c>
      <c r="B31" s="423" t="str">
        <f t="shared" si="4"/>
        <v>5. Converti questo modello in una relazione Inline XBRL (o XBRL-JSON, XBRL-CSV), utilizzando questo convertitore online. Presta attenzione alla validazione XBRL eseguita dal validatore.</v>
      </c>
      <c r="C31" s="89" t="s">
        <v>6462</v>
      </c>
      <c r="D31" s="470" t="s">
        <v>8045</v>
      </c>
      <c r="E31" s="470" t="s">
        <v>8525</v>
      </c>
      <c r="F31" s="471" t="s">
        <v>7576</v>
      </c>
      <c r="G31" t="s">
        <v>9085</v>
      </c>
      <c r="H31" s="89" t="s">
        <v>7174</v>
      </c>
      <c r="I31" s="89" t="s">
        <v>7172</v>
      </c>
      <c r="J31" s="89" t="s">
        <v>7533</v>
      </c>
      <c r="K31" s="456" t="s">
        <v>7170</v>
      </c>
    </row>
    <row r="32" spans="1:11" ht="28.8" x14ac:dyDescent="0.3">
      <c r="A32" s="422" t="s">
        <v>4494</v>
      </c>
      <c r="B32" s="423" t="str">
        <f t="shared" si="4"/>
        <v>6. L'impresa può inoltre caricare la relazione su archivi pubblici o su una pagina web.</v>
      </c>
      <c r="C32" s="89" t="s">
        <v>3095</v>
      </c>
      <c r="D32" s="470" t="s">
        <v>8046</v>
      </c>
      <c r="E32" s="470" t="s">
        <v>8526</v>
      </c>
      <c r="F32" s="471" t="s">
        <v>7577</v>
      </c>
      <c r="G32" t="s">
        <v>9086</v>
      </c>
      <c r="H32" s="89" t="s">
        <v>6818</v>
      </c>
      <c r="I32" s="89" t="s">
        <v>6147</v>
      </c>
      <c r="J32" s="89" t="s">
        <v>7519</v>
      </c>
      <c r="K32" s="456" t="s">
        <v>6781</v>
      </c>
    </row>
    <row r="33" spans="1:11" ht="28.8" x14ac:dyDescent="0.3">
      <c r="A33" s="422" t="s">
        <v>4476</v>
      </c>
      <c r="B33" s="423" t="str">
        <f t="shared" si="4"/>
        <v>Indice colore dello sfondo della cella:</v>
      </c>
      <c r="C33" s="89" t="s">
        <v>2887</v>
      </c>
      <c r="D33" s="470" t="s">
        <v>8047</v>
      </c>
      <c r="E33" s="470" t="s">
        <v>8527</v>
      </c>
      <c r="F33" s="471" t="s">
        <v>7578</v>
      </c>
      <c r="G33" t="s">
        <v>9087</v>
      </c>
      <c r="H33" s="89" t="s">
        <v>5989</v>
      </c>
      <c r="I33" s="89" t="s">
        <v>6066</v>
      </c>
      <c r="J33" s="89" t="s">
        <v>7185</v>
      </c>
      <c r="K33" s="456" t="s">
        <v>5703</v>
      </c>
    </row>
    <row r="34" spans="1:11" ht="43.2" x14ac:dyDescent="0.3">
      <c r="A34" s="422" t="s">
        <v>4477</v>
      </c>
      <c r="B34" s="423" t="str">
        <f t="shared" si="4"/>
        <v>Principi Generali</v>
      </c>
      <c r="C34" s="89" t="s">
        <v>2911</v>
      </c>
      <c r="D34" s="470" t="s">
        <v>8048</v>
      </c>
      <c r="E34" s="470" t="s">
        <v>8528</v>
      </c>
      <c r="F34" s="471" t="s">
        <v>7579</v>
      </c>
      <c r="G34" t="s">
        <v>9088</v>
      </c>
      <c r="H34" s="89" t="s">
        <v>5990</v>
      </c>
      <c r="I34" s="89" t="s">
        <v>5905</v>
      </c>
      <c r="J34" s="89" t="s">
        <v>5824</v>
      </c>
      <c r="K34" s="456" t="s">
        <v>6529</v>
      </c>
    </row>
    <row r="35" spans="1:11" ht="28.8" x14ac:dyDescent="0.3">
      <c r="A35" s="422" t="s">
        <v>4478</v>
      </c>
      <c r="B35" s="423" t="str">
        <f t="shared" si="4"/>
        <v>Indica che l'informativa proviene dai principi generali del VSME.</v>
      </c>
      <c r="C35" s="89" t="s">
        <v>2912</v>
      </c>
      <c r="D35" s="470" t="s">
        <v>8049</v>
      </c>
      <c r="E35" s="470" t="s">
        <v>8529</v>
      </c>
      <c r="F35" s="471" t="s">
        <v>7580</v>
      </c>
      <c r="G35" t="s">
        <v>9089</v>
      </c>
      <c r="H35" s="89" t="s">
        <v>6819</v>
      </c>
      <c r="I35" s="89" t="s">
        <v>6148</v>
      </c>
      <c r="J35" s="89" t="s">
        <v>7186</v>
      </c>
      <c r="K35" s="456" t="s">
        <v>6530</v>
      </c>
    </row>
    <row r="36" spans="1:11" x14ac:dyDescent="0.3">
      <c r="A36" s="422" t="s">
        <v>4479</v>
      </c>
      <c r="B36" s="423" t="str">
        <f t="shared" si="4"/>
        <v>Modulo base</v>
      </c>
      <c r="C36" s="89" t="s">
        <v>2884</v>
      </c>
      <c r="D36" s="470" t="s">
        <v>8050</v>
      </c>
      <c r="E36" s="470" t="s">
        <v>8530</v>
      </c>
      <c r="F36" s="471" t="s">
        <v>7581</v>
      </c>
      <c r="G36" t="s">
        <v>9090</v>
      </c>
      <c r="H36" s="89" t="s">
        <v>6820</v>
      </c>
      <c r="I36" s="89" t="s">
        <v>5906</v>
      </c>
      <c r="J36" s="89" t="s">
        <v>7187</v>
      </c>
      <c r="K36" s="456" t="s">
        <v>5704</v>
      </c>
    </row>
    <row r="37" spans="1:11" ht="28.8" x14ac:dyDescent="0.3">
      <c r="A37" s="422" t="s">
        <v>4480</v>
      </c>
      <c r="B37" s="423" t="str">
        <f t="shared" si="4"/>
        <v>Indica che l'informativa proviene dal Modulo base del VSME.</v>
      </c>
      <c r="C37" s="89" t="s">
        <v>2910</v>
      </c>
      <c r="D37" s="470" t="s">
        <v>8051</v>
      </c>
      <c r="E37" s="470" t="s">
        <v>8531</v>
      </c>
      <c r="F37" s="471" t="s">
        <v>7582</v>
      </c>
      <c r="G37" t="s">
        <v>9091</v>
      </c>
      <c r="H37" s="89" t="s">
        <v>6821</v>
      </c>
      <c r="I37" s="89" t="s">
        <v>5907</v>
      </c>
      <c r="J37" s="89" t="s">
        <v>7188</v>
      </c>
      <c r="K37" s="456" t="s">
        <v>6531</v>
      </c>
    </row>
    <row r="38" spans="1:11" x14ac:dyDescent="0.3">
      <c r="A38" s="422" t="s">
        <v>4481</v>
      </c>
      <c r="B38" s="423" t="str">
        <f t="shared" si="4"/>
        <v>Modulo Onnicomprensivo</v>
      </c>
      <c r="C38" s="89" t="s">
        <v>2885</v>
      </c>
      <c r="D38" s="470" t="s">
        <v>8052</v>
      </c>
      <c r="E38" s="470" t="s">
        <v>8532</v>
      </c>
      <c r="F38" s="471" t="s">
        <v>7583</v>
      </c>
      <c r="G38" t="s">
        <v>9092</v>
      </c>
      <c r="H38" s="89" t="s">
        <v>6822</v>
      </c>
      <c r="I38" s="89" t="s">
        <v>6149</v>
      </c>
      <c r="J38" s="89" t="s">
        <v>7188</v>
      </c>
      <c r="K38" s="456" t="s">
        <v>5705</v>
      </c>
    </row>
    <row r="39" spans="1:11" ht="28.8" x14ac:dyDescent="0.3">
      <c r="A39" s="422" t="s">
        <v>4482</v>
      </c>
      <c r="B39" s="423" t="str">
        <f t="shared" si="4"/>
        <v>Indica che l'informativa proviene dal Modulo Onnicomprensivo del VSME.</v>
      </c>
      <c r="C39" s="89" t="s">
        <v>2909</v>
      </c>
      <c r="D39" s="470" t="s">
        <v>8053</v>
      </c>
      <c r="E39" s="470" t="s">
        <v>8533</v>
      </c>
      <c r="F39" s="471" t="s">
        <v>7584</v>
      </c>
      <c r="G39" t="s">
        <v>9093</v>
      </c>
      <c r="H39" s="89" t="s">
        <v>6823</v>
      </c>
      <c r="I39" s="89" t="s">
        <v>6150</v>
      </c>
      <c r="J39" s="89" t="s">
        <v>7188</v>
      </c>
      <c r="K39" s="456" t="s">
        <v>6532</v>
      </c>
    </row>
    <row r="40" spans="1:11" ht="57.6" x14ac:dyDescent="0.3">
      <c r="A40" s="422" t="s">
        <v>4483</v>
      </c>
      <c r="B40" s="423" t="str">
        <f t="shared" si="4"/>
        <v>Indica che la cella è calcolata automaticamente e che non è richiesta alcuna immissione di dati.</v>
      </c>
      <c r="C40" s="89" t="s">
        <v>3773</v>
      </c>
      <c r="D40" s="470" t="s">
        <v>8054</v>
      </c>
      <c r="E40" s="470" t="s">
        <v>8533</v>
      </c>
      <c r="F40" s="471" t="s">
        <v>7585</v>
      </c>
      <c r="G40" t="s">
        <v>9094</v>
      </c>
      <c r="H40" s="89" t="s">
        <v>6824</v>
      </c>
      <c r="I40" s="89" t="s">
        <v>6151</v>
      </c>
      <c r="J40" s="89" t="s">
        <v>7189</v>
      </c>
      <c r="K40" s="456" t="s">
        <v>6533</v>
      </c>
    </row>
    <row r="41" spans="1:11" ht="144" x14ac:dyDescent="0.3">
      <c r="A41" s="422" t="s">
        <v>4496</v>
      </c>
      <c r="B41" s="423" t="str">
        <f t="shared" si="4"/>
        <v>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v>
      </c>
      <c r="C41" s="89" t="s">
        <v>3559</v>
      </c>
      <c r="D41" s="470" t="s">
        <v>8055</v>
      </c>
      <c r="E41" s="470" t="s">
        <v>8534</v>
      </c>
      <c r="F41" s="471" t="s">
        <v>7586</v>
      </c>
      <c r="G41" t="s">
        <v>9095</v>
      </c>
      <c r="H41" s="89" t="s">
        <v>6825</v>
      </c>
      <c r="I41" s="89" t="s">
        <v>6152</v>
      </c>
      <c r="J41" s="89" t="s">
        <v>7190</v>
      </c>
      <c r="K41" s="456" t="s">
        <v>6534</v>
      </c>
    </row>
    <row r="42" spans="1:11" ht="57.6" x14ac:dyDescent="0.3">
      <c r="A42" s="422" t="s">
        <v>4484</v>
      </c>
      <c r="B42" s="423" t="str">
        <f t="shared" si="4"/>
        <v>Indica che non è richiesto alcun inserimento di dati a meno che nella stessa informativa non vengano selezionate determinate logiche. Quando una di queste logiche viene selezionata, allora questa cella diventerà bianca.</v>
      </c>
      <c r="C42" s="89" t="s">
        <v>3066</v>
      </c>
      <c r="D42" s="470" t="s">
        <v>8056</v>
      </c>
      <c r="E42" s="470" t="s">
        <v>8535</v>
      </c>
      <c r="F42" s="471" t="s">
        <v>7587</v>
      </c>
      <c r="G42" t="s">
        <v>9096</v>
      </c>
      <c r="H42" s="89" t="s">
        <v>6826</v>
      </c>
      <c r="I42" s="89" t="s">
        <v>6153</v>
      </c>
      <c r="J42" s="89" t="s">
        <v>7191</v>
      </c>
      <c r="K42" s="456" t="s">
        <v>6535</v>
      </c>
    </row>
    <row r="43" spans="1:11" ht="43.2" x14ac:dyDescent="0.3">
      <c r="A43" s="422" t="s">
        <v>4497</v>
      </c>
      <c r="B43" s="423" t="str">
        <f t="shared" si="4"/>
        <v>Validazione VALORE MANCANTE/ERRORE/INCOERENZA DI VALORE/URL NON VALIDO</v>
      </c>
      <c r="C43" s="423" t="s">
        <v>3774</v>
      </c>
      <c r="D43" s="470" t="s">
        <v>8057</v>
      </c>
      <c r="E43" s="470" t="s">
        <v>8536</v>
      </c>
      <c r="F43" s="471" t="s">
        <v>7588</v>
      </c>
      <c r="G43" t="s">
        <v>9097</v>
      </c>
      <c r="H43" s="89" t="s">
        <v>6827</v>
      </c>
      <c r="I43" s="89" t="s">
        <v>6154</v>
      </c>
      <c r="J43" s="89" t="s">
        <v>7192</v>
      </c>
      <c r="K43" s="456" t="s">
        <v>6475</v>
      </c>
    </row>
    <row r="44" spans="1:11" ht="43.2" x14ac:dyDescent="0.3">
      <c r="A44" s="422" t="s">
        <v>4485</v>
      </c>
      <c r="B44" s="423" t="str">
        <f t="shared" si="4"/>
        <v>Indica che l'inserimento dei dati è errato in termini di formato oppure che mancano alcune informazioni necessarie per una corretta rendicontazione dell'informativa.</v>
      </c>
      <c r="C44" s="89" t="s">
        <v>3015</v>
      </c>
      <c r="D44" s="470" t="s">
        <v>8058</v>
      </c>
      <c r="E44" s="470" t="s">
        <v>8537</v>
      </c>
      <c r="F44" s="471" t="s">
        <v>7589</v>
      </c>
      <c r="G44" t="s">
        <v>9098</v>
      </c>
      <c r="H44" s="89" t="s">
        <v>6828</v>
      </c>
      <c r="I44" s="89" t="s">
        <v>6155</v>
      </c>
      <c r="J44" s="89" t="s">
        <v>7193</v>
      </c>
      <c r="K44" s="456" t="s">
        <v>6536</v>
      </c>
    </row>
    <row r="45" spans="1:11" x14ac:dyDescent="0.3">
      <c r="A45" s="422" t="s">
        <v>4498</v>
      </c>
      <c r="B45" s="423" t="str">
        <f t="shared" si="4"/>
        <v>Validazione OK</v>
      </c>
      <c r="C45" s="89" t="s">
        <v>2886</v>
      </c>
      <c r="D45" s="470" t="s">
        <v>8059</v>
      </c>
      <c r="E45" s="470" t="s">
        <v>2886</v>
      </c>
      <c r="F45" s="471" t="s">
        <v>7590</v>
      </c>
      <c r="G45" t="s">
        <v>9099</v>
      </c>
      <c r="H45" s="89" t="s">
        <v>9531</v>
      </c>
      <c r="I45" s="89" t="s">
        <v>5908</v>
      </c>
      <c r="J45" s="89" t="s">
        <v>5825</v>
      </c>
      <c r="K45" s="456" t="s">
        <v>6476</v>
      </c>
    </row>
    <row r="46" spans="1:11" ht="28.8" x14ac:dyDescent="0.3">
      <c r="A46" s="422" t="s">
        <v>4486</v>
      </c>
      <c r="B46" s="423" t="str">
        <f t="shared" si="4"/>
        <v>Indica che l'immissione dei dati è corretta e l'impresa può procedere con la successiva informativa.</v>
      </c>
      <c r="C46" s="89" t="s">
        <v>2913</v>
      </c>
      <c r="D46" s="470" t="s">
        <v>8060</v>
      </c>
      <c r="E46" s="470" t="s">
        <v>8538</v>
      </c>
      <c r="F46" s="471" t="s">
        <v>7591</v>
      </c>
      <c r="G46" t="s">
        <v>9100</v>
      </c>
      <c r="H46" s="89" t="s">
        <v>6829</v>
      </c>
      <c r="I46" s="89" t="s">
        <v>6156</v>
      </c>
      <c r="J46" s="89" t="s">
        <v>7194</v>
      </c>
      <c r="K46" s="456" t="s">
        <v>5706</v>
      </c>
    </row>
    <row r="47" spans="1:11" x14ac:dyDescent="0.3">
      <c r="A47" s="422" t="s">
        <v>4487</v>
      </c>
      <c r="B47" s="423" t="str">
        <f t="shared" si="4"/>
        <v>Non è possibile inserire alcun valore nella cella.</v>
      </c>
      <c r="C47" s="89" t="s">
        <v>3063</v>
      </c>
      <c r="D47" s="470" t="s">
        <v>8061</v>
      </c>
      <c r="E47" s="470" t="s">
        <v>8539</v>
      </c>
      <c r="F47" s="471" t="s">
        <v>7592</v>
      </c>
      <c r="G47" t="s">
        <v>9101</v>
      </c>
      <c r="H47" s="89" t="s">
        <v>6049</v>
      </c>
      <c r="I47" s="89" t="s">
        <v>5909</v>
      </c>
      <c r="J47" s="89" t="s">
        <v>5826</v>
      </c>
      <c r="K47" s="456" t="s">
        <v>5707</v>
      </c>
    </row>
    <row r="48" spans="1:11" ht="72" x14ac:dyDescent="0.3">
      <c r="A48" s="422" t="s">
        <v>4488</v>
      </c>
      <c r="B48" s="423" t="str">
        <f t="shared" si="4"/>
        <v>Le liste possono essere espanse utilizzando il pulsante più [+] a sinistra. Se il numero di righe non è sufficiente, è possibile aggiungere ulteriori righe facendo clic con il tasto destro sulla seconda riga e selezionando "Inserisci riga".</v>
      </c>
      <c r="C48" s="89" t="s">
        <v>3016</v>
      </c>
      <c r="D48" s="470" t="s">
        <v>8062</v>
      </c>
      <c r="E48" s="470" t="s">
        <v>8540</v>
      </c>
      <c r="F48" s="471" t="s">
        <v>7593</v>
      </c>
      <c r="G48" t="s">
        <v>9102</v>
      </c>
      <c r="H48" s="89" t="s">
        <v>6830</v>
      </c>
      <c r="I48" s="89" t="s">
        <v>6157</v>
      </c>
      <c r="J48" s="89" t="s">
        <v>7195</v>
      </c>
      <c r="K48" s="456" t="s">
        <v>6537</v>
      </c>
    </row>
    <row r="49" spans="1:11" ht="201.6" x14ac:dyDescent="0.3">
      <c r="A49" s="422" t="s">
        <v>4489</v>
      </c>
      <c r="B49" s="423" t="str">
        <f t="shared" si="4"/>
        <v>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v>
      </c>
      <c r="C49" s="89" t="s">
        <v>2923</v>
      </c>
      <c r="D49" s="470" t="s">
        <v>8063</v>
      </c>
      <c r="E49" s="470" t="s">
        <v>8541</v>
      </c>
      <c r="F49" s="471" t="s">
        <v>7594</v>
      </c>
      <c r="G49" t="s">
        <v>9103</v>
      </c>
      <c r="H49" s="89" t="s">
        <v>6831</v>
      </c>
      <c r="I49" s="89" t="s">
        <v>6158</v>
      </c>
      <c r="J49" s="89" t="s">
        <v>7196</v>
      </c>
      <c r="K49" s="456" t="s">
        <v>6538</v>
      </c>
    </row>
    <row r="50" spans="1:11" s="12" customFormat="1" ht="72.599999999999994" thickBot="1" x14ac:dyDescent="0.35">
      <c r="A50" s="434" t="s">
        <v>4490</v>
      </c>
      <c r="B50" s="457" t="str">
        <f t="shared" si="4"/>
        <v>Riproduzione e diritti d'uso sono severamente limitati. Per ulteriori dettagli, contattare efragsecretariat@efrag.org</v>
      </c>
      <c r="C50" s="424" t="s">
        <v>2922</v>
      </c>
      <c r="D50" s="478" t="s">
        <v>8064</v>
      </c>
      <c r="E50" s="478" t="s">
        <v>8542</v>
      </c>
      <c r="F50" s="472" t="s">
        <v>7595</v>
      </c>
      <c r="G50" s="12" t="s">
        <v>9104</v>
      </c>
      <c r="H50" s="424" t="s">
        <v>6832</v>
      </c>
      <c r="I50" s="424" t="s">
        <v>6159</v>
      </c>
      <c r="J50" s="424" t="s">
        <v>7197</v>
      </c>
      <c r="K50" s="476" t="s">
        <v>6539</v>
      </c>
    </row>
    <row r="51" spans="1:11" ht="43.2" x14ac:dyDescent="0.3">
      <c r="A51" s="422" t="s">
        <v>4404</v>
      </c>
      <c r="B51" s="423" t="str">
        <f t="shared" si="4"/>
        <v>Stato complessivo di convalida</v>
      </c>
      <c r="C51" s="422" t="s">
        <v>3661</v>
      </c>
      <c r="D51" s="470" t="s">
        <v>8065</v>
      </c>
      <c r="E51" s="470" t="s">
        <v>8543</v>
      </c>
      <c r="F51" s="471" t="s">
        <v>7596</v>
      </c>
      <c r="G51" t="s">
        <v>9105</v>
      </c>
      <c r="H51" s="89" t="s">
        <v>6833</v>
      </c>
      <c r="I51" s="89" t="s">
        <v>6160</v>
      </c>
      <c r="J51" s="89" t="s">
        <v>7198</v>
      </c>
      <c r="K51" s="456" t="s">
        <v>6540</v>
      </c>
    </row>
    <row r="52" spans="1:11" x14ac:dyDescent="0.3">
      <c r="A52" s="422" t="s">
        <v>4405</v>
      </c>
      <c r="B52" s="423" t="str">
        <f t="shared" si="4"/>
        <v>Sommario</v>
      </c>
      <c r="C52" s="422" t="s">
        <v>3662</v>
      </c>
      <c r="D52" s="470" t="s">
        <v>8066</v>
      </c>
      <c r="E52" s="470" t="s">
        <v>8506</v>
      </c>
      <c r="F52" s="471" t="s">
        <v>7558</v>
      </c>
      <c r="G52" t="s">
        <v>9067</v>
      </c>
      <c r="H52" s="89" t="s">
        <v>5987</v>
      </c>
      <c r="I52" s="89" t="s">
        <v>5902</v>
      </c>
      <c r="J52" s="89" t="s">
        <v>5821</v>
      </c>
      <c r="K52" s="456" t="s">
        <v>5821</v>
      </c>
    </row>
    <row r="53" spans="1:11" ht="28.8" x14ac:dyDescent="0.3">
      <c r="A53" s="422" t="s">
        <v>4406</v>
      </c>
      <c r="B53" s="423" t="str">
        <f t="shared" si="4"/>
        <v>Il raggruppamento dei contenuti segue il quadro del modello</v>
      </c>
      <c r="C53" s="422" t="s">
        <v>3663</v>
      </c>
      <c r="D53" s="470" t="s">
        <v>8067</v>
      </c>
      <c r="E53" s="470" t="s">
        <v>8544</v>
      </c>
      <c r="F53" s="471" t="s">
        <v>7597</v>
      </c>
      <c r="G53" t="s">
        <v>9106</v>
      </c>
      <c r="H53" s="89" t="s">
        <v>6834</v>
      </c>
      <c r="I53" s="89" t="s">
        <v>6161</v>
      </c>
      <c r="J53" s="89" t="s">
        <v>7199</v>
      </c>
      <c r="K53" s="456" t="s">
        <v>6541</v>
      </c>
    </row>
    <row r="54" spans="1:11" x14ac:dyDescent="0.3">
      <c r="A54" s="422" t="s">
        <v>4407</v>
      </c>
      <c r="B54" s="423" t="str">
        <f t="shared" si="4"/>
        <v>Stato di convalida specifico del contenuto</v>
      </c>
      <c r="C54" s="422" t="s">
        <v>3664</v>
      </c>
      <c r="D54" s="470" t="s">
        <v>8068</v>
      </c>
      <c r="E54" s="470" t="s">
        <v>8545</v>
      </c>
      <c r="F54" s="471" t="s">
        <v>7598</v>
      </c>
      <c r="G54" t="s">
        <v>9107</v>
      </c>
      <c r="H54" s="89" t="s">
        <v>5991</v>
      </c>
      <c r="I54" s="89" t="s">
        <v>6162</v>
      </c>
      <c r="J54" s="89" t="s">
        <v>7200</v>
      </c>
      <c r="K54" s="456" t="s">
        <v>6542</v>
      </c>
    </row>
    <row r="55" spans="1:11" ht="28.8" x14ac:dyDescent="0.3">
      <c r="A55" s="422" t="s">
        <v>4408</v>
      </c>
      <c r="B55" s="423" t="str">
        <f t="shared" si="4"/>
        <v xml:space="preserve">Informazioni generali
</v>
      </c>
      <c r="C55" s="422" t="s">
        <v>3665</v>
      </c>
      <c r="D55" s="470" t="s">
        <v>8069</v>
      </c>
      <c r="E55" s="470" t="s">
        <v>8546</v>
      </c>
      <c r="F55" s="471" t="s">
        <v>7599</v>
      </c>
      <c r="G55" t="s">
        <v>9108</v>
      </c>
      <c r="H55" s="89" t="s">
        <v>6835</v>
      </c>
      <c r="I55" s="89" t="s">
        <v>5910</v>
      </c>
      <c r="J55" s="89" t="s">
        <v>7201</v>
      </c>
      <c r="K55" s="456" t="s">
        <v>5708</v>
      </c>
    </row>
    <row r="56" spans="1:11" ht="28.8" x14ac:dyDescent="0.3">
      <c r="A56" s="422" t="s">
        <v>4403</v>
      </c>
      <c r="B56" s="423" t="str">
        <f t="shared" si="4"/>
        <v>· Informazioni sulla relazione necessarie per XBRL</v>
      </c>
      <c r="C56" s="422" t="s">
        <v>3685</v>
      </c>
      <c r="D56" s="470" t="s">
        <v>8070</v>
      </c>
      <c r="E56" s="470" t="s">
        <v>8547</v>
      </c>
      <c r="F56" s="471" t="s">
        <v>7600</v>
      </c>
      <c r="G56" t="s">
        <v>9109</v>
      </c>
      <c r="H56" s="89" t="s">
        <v>6836</v>
      </c>
      <c r="I56" s="89" t="s">
        <v>9001</v>
      </c>
      <c r="J56" s="89" t="s">
        <v>7526</v>
      </c>
      <c r="K56" s="456" t="s">
        <v>6543</v>
      </c>
    </row>
    <row r="57" spans="1:11" x14ac:dyDescent="0.3">
      <c r="A57" s="422" t="s">
        <v>4409</v>
      </c>
      <c r="B57" s="423" t="str">
        <f t="shared" si="4"/>
        <v>· Informazioni sul periodo di riferimento precedente</v>
      </c>
      <c r="C57" s="422" t="s">
        <v>3686</v>
      </c>
      <c r="D57" s="470" t="s">
        <v>8071</v>
      </c>
      <c r="E57" s="470" t="s">
        <v>8548</v>
      </c>
      <c r="F57" s="471" t="s">
        <v>7601</v>
      </c>
      <c r="G57" t="s">
        <v>9110</v>
      </c>
      <c r="H57" s="89" t="s">
        <v>5992</v>
      </c>
      <c r="I57" s="89" t="s">
        <v>9002</v>
      </c>
      <c r="J57" s="89" t="s">
        <v>7203</v>
      </c>
      <c r="K57" s="456" t="s">
        <v>9040</v>
      </c>
    </row>
    <row r="58" spans="1:11" x14ac:dyDescent="0.3">
      <c r="A58" s="422" t="s">
        <v>4410</v>
      </c>
      <c r="B58" s="423" t="str">
        <f t="shared" si="4"/>
        <v>Modulo base</v>
      </c>
      <c r="C58" s="422" t="s">
        <v>2884</v>
      </c>
      <c r="D58" s="470" t="s">
        <v>7581</v>
      </c>
      <c r="E58" s="470" t="s">
        <v>8549</v>
      </c>
      <c r="F58" s="471" t="s">
        <v>7581</v>
      </c>
      <c r="G58" t="s">
        <v>9090</v>
      </c>
      <c r="H58" s="89" t="s">
        <v>6820</v>
      </c>
      <c r="I58" s="89" t="s">
        <v>5906</v>
      </c>
      <c r="J58" s="89" t="s">
        <v>7187</v>
      </c>
      <c r="K58" s="456" t="s">
        <v>5704</v>
      </c>
    </row>
    <row r="59" spans="1:11" x14ac:dyDescent="0.3">
      <c r="A59" s="422" t="s">
        <v>4411</v>
      </c>
      <c r="B59" s="423" t="str">
        <f t="shared" si="4"/>
        <v>· B1 – Criteri per la redazione</v>
      </c>
      <c r="C59" s="422" t="s">
        <v>3687</v>
      </c>
      <c r="D59" s="470" t="s">
        <v>8072</v>
      </c>
      <c r="E59" s="470" t="s">
        <v>8948</v>
      </c>
      <c r="F59" s="471" t="s">
        <v>7602</v>
      </c>
      <c r="G59" t="s">
        <v>9111</v>
      </c>
      <c r="H59" s="89" t="s">
        <v>8978</v>
      </c>
      <c r="I59" s="89" t="s">
        <v>9003</v>
      </c>
      <c r="J59" s="89" t="s">
        <v>7520</v>
      </c>
      <c r="K59" s="456" t="s">
        <v>9041</v>
      </c>
    </row>
    <row r="60" spans="1:11" ht="28.8" x14ac:dyDescent="0.3">
      <c r="A60" s="422" t="s">
        <v>4412</v>
      </c>
      <c r="B60" s="423" t="str">
        <f t="shared" si="4"/>
        <v>Criteri per la redazione e informazioni generali sull'impresa</v>
      </c>
      <c r="C60" s="422" t="s">
        <v>4378</v>
      </c>
      <c r="D60" s="470" t="s">
        <v>8073</v>
      </c>
      <c r="E60" s="470" t="s">
        <v>8550</v>
      </c>
      <c r="F60" s="471" t="s">
        <v>7603</v>
      </c>
      <c r="G60" t="s">
        <v>9112</v>
      </c>
      <c r="H60" s="89" t="s">
        <v>6837</v>
      </c>
      <c r="I60" s="89" t="s">
        <v>6163</v>
      </c>
      <c r="J60" s="89" t="s">
        <v>7204</v>
      </c>
      <c r="K60" s="456" t="s">
        <v>6545</v>
      </c>
    </row>
    <row r="61" spans="1:11" x14ac:dyDescent="0.3">
      <c r="A61" s="422" t="s">
        <v>4413</v>
      </c>
      <c r="B61" s="423" t="str">
        <f t="shared" si="4"/>
        <v>Elenco delle imprese figlie</v>
      </c>
      <c r="C61" s="422" t="s">
        <v>4379</v>
      </c>
      <c r="D61" s="470" t="s">
        <v>8074</v>
      </c>
      <c r="E61" s="470" t="s">
        <v>8551</v>
      </c>
      <c r="F61" s="471" t="s">
        <v>7604</v>
      </c>
      <c r="G61" t="s">
        <v>9113</v>
      </c>
      <c r="H61" s="89" t="s">
        <v>6838</v>
      </c>
      <c r="I61" s="89" t="s">
        <v>6164</v>
      </c>
      <c r="J61" s="89" t="s">
        <v>7205</v>
      </c>
      <c r="K61" s="456" t="s">
        <v>6546</v>
      </c>
    </row>
    <row r="62" spans="1:11" ht="28.8" x14ac:dyDescent="0.3">
      <c r="A62" s="422" t="s">
        <v>4414</v>
      </c>
      <c r="B62" s="423" t="str">
        <f t="shared" si="4"/>
        <v xml:space="preserve">Informativa sulla/e certificazione/i o marchio/i di sostenibilità
</v>
      </c>
      <c r="C62" s="422" t="s">
        <v>4380</v>
      </c>
      <c r="D62" s="470" t="s">
        <v>8075</v>
      </c>
      <c r="E62" s="470" t="s">
        <v>8552</v>
      </c>
      <c r="F62" s="471" t="s">
        <v>7605</v>
      </c>
      <c r="G62" t="s">
        <v>9114</v>
      </c>
      <c r="H62" s="89" t="s">
        <v>6839</v>
      </c>
      <c r="I62" s="89" t="s">
        <v>6165</v>
      </c>
      <c r="J62" s="89" t="s">
        <v>7206</v>
      </c>
      <c r="K62" s="456" t="s">
        <v>6547</v>
      </c>
    </row>
    <row r="63" spans="1:11" x14ac:dyDescent="0.3">
      <c r="A63" s="422" t="s">
        <v>4415</v>
      </c>
      <c r="B63" s="423" t="str">
        <f t="shared" si="4"/>
        <v>Elenco di sito(i)</v>
      </c>
      <c r="C63" s="422" t="s">
        <v>4381</v>
      </c>
      <c r="D63" s="470" t="s">
        <v>8076</v>
      </c>
      <c r="E63" s="470" t="s">
        <v>8553</v>
      </c>
      <c r="F63" s="471" t="s">
        <v>7606</v>
      </c>
      <c r="G63" t="s">
        <v>9115</v>
      </c>
      <c r="H63" s="89" t="s">
        <v>6840</v>
      </c>
      <c r="I63" s="89" t="s">
        <v>6166</v>
      </c>
      <c r="J63" s="89" t="s">
        <v>7207</v>
      </c>
      <c r="K63" s="456" t="s">
        <v>6548</v>
      </c>
    </row>
    <row r="64" spans="1:11" ht="28.8" x14ac:dyDescent="0.3">
      <c r="A64" s="422" t="s">
        <v>4416</v>
      </c>
      <c r="B64" s="423" t="str">
        <f t="shared" si="4"/>
        <v>· B2 - Pratiche, politiche e iniziative future per la transizione verso un'economia più sostenibile</v>
      </c>
      <c r="C64" s="422" t="s">
        <v>3675</v>
      </c>
      <c r="D64" s="470" t="s">
        <v>8077</v>
      </c>
      <c r="E64" s="470" t="s">
        <v>8949</v>
      </c>
      <c r="F64" s="471" t="s">
        <v>7607</v>
      </c>
      <c r="G64" t="s">
        <v>9116</v>
      </c>
      <c r="H64" s="89" t="s">
        <v>8979</v>
      </c>
      <c r="I64" s="89" t="s">
        <v>9004</v>
      </c>
      <c r="J64" s="89" t="s">
        <v>7521</v>
      </c>
      <c r="K64" s="456" t="s">
        <v>9042</v>
      </c>
    </row>
    <row r="65" spans="1:11" ht="28.8" x14ac:dyDescent="0.3">
      <c r="A65" s="422" t="s">
        <v>4417</v>
      </c>
      <c r="B65" s="423" t="str">
        <f t="shared" si="4"/>
        <v>Pratiche, politiche e iniziative future per la transizione verso un'economia più sostenibile</v>
      </c>
      <c r="C65" s="422" t="s">
        <v>4382</v>
      </c>
      <c r="D65" s="470" t="s">
        <v>8078</v>
      </c>
      <c r="E65" s="470" t="s">
        <v>8555</v>
      </c>
      <c r="F65" s="471" t="s">
        <v>7608</v>
      </c>
      <c r="G65" t="s">
        <v>9117</v>
      </c>
      <c r="H65" s="89" t="s">
        <v>6841</v>
      </c>
      <c r="I65" s="89" t="s">
        <v>6067</v>
      </c>
      <c r="J65" s="89" t="s">
        <v>5827</v>
      </c>
      <c r="K65" s="456" t="s">
        <v>5709</v>
      </c>
    </row>
    <row r="66" spans="1:11" x14ac:dyDescent="0.3">
      <c r="A66" s="422" t="s">
        <v>4418</v>
      </c>
      <c r="B66" s="423" t="str">
        <f t="shared" si="4"/>
        <v>Informative specifiche per cooperative</v>
      </c>
      <c r="C66" s="422" t="s">
        <v>4383</v>
      </c>
      <c r="D66" s="470" t="s">
        <v>8079</v>
      </c>
      <c r="E66" s="470" t="s">
        <v>8556</v>
      </c>
      <c r="F66" s="471" t="s">
        <v>7609</v>
      </c>
      <c r="G66" t="s">
        <v>9118</v>
      </c>
      <c r="H66" s="89" t="s">
        <v>6842</v>
      </c>
      <c r="I66" s="89" t="s">
        <v>6167</v>
      </c>
      <c r="J66" s="89" t="s">
        <v>7209</v>
      </c>
      <c r="K66" s="456" t="s">
        <v>6549</v>
      </c>
    </row>
    <row r="67" spans="1:11" x14ac:dyDescent="0.3">
      <c r="A67" s="422" t="s">
        <v>4419</v>
      </c>
      <c r="B67" s="423" t="str">
        <f t="shared" si="4"/>
        <v>Informative ambientali</v>
      </c>
      <c r="C67" s="422" t="s">
        <v>3666</v>
      </c>
      <c r="D67" s="470" t="s">
        <v>8080</v>
      </c>
      <c r="E67" s="470" t="s">
        <v>8557</v>
      </c>
      <c r="F67" s="471" t="s">
        <v>7610</v>
      </c>
      <c r="G67" t="s">
        <v>9119</v>
      </c>
      <c r="H67" s="89" t="s">
        <v>6843</v>
      </c>
      <c r="I67" s="89" t="s">
        <v>6168</v>
      </c>
      <c r="J67" s="89" t="s">
        <v>5828</v>
      </c>
      <c r="K67" s="456" t="s">
        <v>6550</v>
      </c>
    </row>
    <row r="68" spans="1:11" x14ac:dyDescent="0.3">
      <c r="A68" s="422" t="s">
        <v>4420</v>
      </c>
      <c r="B68" s="423" t="str">
        <f t="shared" ref="B68:B131" si="5">INDEX(C68:K68,MATCH(template_selected_display_language,$C$3:$K$3,0))</f>
        <v>· B3 - Energia ed emissioni di gas a effetto serra</v>
      </c>
      <c r="C68" s="422" t="s">
        <v>3691</v>
      </c>
      <c r="D68" s="470" t="s">
        <v>8081</v>
      </c>
      <c r="E68" s="470" t="s">
        <v>8950</v>
      </c>
      <c r="F68" s="471" t="s">
        <v>7611</v>
      </c>
      <c r="G68" t="s">
        <v>9120</v>
      </c>
      <c r="H68" s="89" t="s">
        <v>6844</v>
      </c>
      <c r="I68" s="89" t="s">
        <v>9005</v>
      </c>
      <c r="J68" s="89" t="s">
        <v>7522</v>
      </c>
      <c r="K68" s="456" t="s">
        <v>9043</v>
      </c>
    </row>
    <row r="69" spans="1:11" x14ac:dyDescent="0.3">
      <c r="A69" s="422" t="s">
        <v>4421</v>
      </c>
      <c r="B69" s="423" t="str">
        <f t="shared" si="5"/>
        <v>Totale consumo di energia (in MWh)</v>
      </c>
      <c r="C69" s="422" t="s">
        <v>4384</v>
      </c>
      <c r="D69" s="470" t="s">
        <v>8082</v>
      </c>
      <c r="E69" s="470" t="s">
        <v>8558</v>
      </c>
      <c r="F69" s="471" t="s">
        <v>7612</v>
      </c>
      <c r="G69" t="s">
        <v>9121</v>
      </c>
      <c r="H69" s="89" t="s">
        <v>6050</v>
      </c>
      <c r="I69" s="89" t="s">
        <v>5911</v>
      </c>
      <c r="J69" s="89" t="s">
        <v>7210</v>
      </c>
      <c r="K69" s="456" t="s">
        <v>5710</v>
      </c>
    </row>
    <row r="70" spans="1:11" x14ac:dyDescent="0.3">
      <c r="A70" s="422" t="s">
        <v>4422</v>
      </c>
      <c r="B70" s="423" t="str">
        <f t="shared" si="5"/>
        <v>Ripartizione del consumo di energia (in MWh)</v>
      </c>
      <c r="C70" s="422" t="s">
        <v>4385</v>
      </c>
      <c r="D70" s="470" t="s">
        <v>8083</v>
      </c>
      <c r="E70" s="470" t="s">
        <v>8559</v>
      </c>
      <c r="F70" s="471" t="s">
        <v>7613</v>
      </c>
      <c r="G70" t="s">
        <v>9122</v>
      </c>
      <c r="H70" s="89" t="s">
        <v>6845</v>
      </c>
      <c r="I70" s="89" t="s">
        <v>5912</v>
      </c>
      <c r="J70" s="89" t="s">
        <v>7211</v>
      </c>
      <c r="K70" s="456" t="s">
        <v>5711</v>
      </c>
    </row>
    <row r="71" spans="1:11" ht="43.2" x14ac:dyDescent="0.3">
      <c r="A71" s="422" t="s">
        <v>4423</v>
      </c>
      <c r="B71" s="423" t="str">
        <f t="shared" si="5"/>
        <v>Emissioni stimate di gas a effetto serra considerando il Greenhouse Gas Protocol versione 2004 (in tCO2e)</v>
      </c>
      <c r="C71" s="422" t="s">
        <v>4386</v>
      </c>
      <c r="D71" s="470" t="s">
        <v>8084</v>
      </c>
      <c r="E71" s="470" t="s">
        <v>8560</v>
      </c>
      <c r="F71" s="471" t="s">
        <v>7614</v>
      </c>
      <c r="G71" t="s">
        <v>9123</v>
      </c>
      <c r="H71" s="89" t="s">
        <v>6846</v>
      </c>
      <c r="I71" s="89" t="s">
        <v>6169</v>
      </c>
      <c r="J71" s="89" t="s">
        <v>7212</v>
      </c>
      <c r="K71" s="456" t="s">
        <v>6551</v>
      </c>
    </row>
    <row r="72" spans="1:11" ht="28.8" x14ac:dyDescent="0.3">
      <c r="A72" s="422" t="s">
        <v>4424</v>
      </c>
      <c r="B72" s="423" t="str">
        <f t="shared" si="5"/>
        <v>Intensità delle emissioni di gas a effetto serra per ricavi delle vendite e delle prestazioni</v>
      </c>
      <c r="C72" s="422" t="s">
        <v>4387</v>
      </c>
      <c r="D72" s="470" t="s">
        <v>8085</v>
      </c>
      <c r="E72" s="470" t="s">
        <v>8561</v>
      </c>
      <c r="F72" s="471" t="s">
        <v>7615</v>
      </c>
      <c r="G72" t="s">
        <v>9124</v>
      </c>
      <c r="H72" s="89" t="s">
        <v>6847</v>
      </c>
      <c r="I72" s="89" t="s">
        <v>6170</v>
      </c>
      <c r="J72" s="89" t="s">
        <v>5829</v>
      </c>
      <c r="K72" s="456" t="s">
        <v>6552</v>
      </c>
    </row>
    <row r="73" spans="1:11" x14ac:dyDescent="0.3">
      <c r="A73" s="422" t="s">
        <v>4425</v>
      </c>
      <c r="B73" s="423" t="str">
        <f t="shared" si="5"/>
        <v>· B4 – Inquinamento di aria, acqua e suolo</v>
      </c>
      <c r="C73" s="422" t="s">
        <v>3692</v>
      </c>
      <c r="D73" s="470" t="s">
        <v>8086</v>
      </c>
      <c r="E73" s="470" t="s">
        <v>8951</v>
      </c>
      <c r="F73" s="471" t="s">
        <v>7616</v>
      </c>
      <c r="G73" t="s">
        <v>9125</v>
      </c>
      <c r="H73" s="89" t="s">
        <v>8980</v>
      </c>
      <c r="I73" s="89" t="s">
        <v>9006</v>
      </c>
      <c r="J73" s="89" t="s">
        <v>7523</v>
      </c>
      <c r="K73" s="456" t="s">
        <v>9044</v>
      </c>
    </row>
    <row r="74" spans="1:11" ht="43.2" x14ac:dyDescent="0.3">
      <c r="A74" s="422" t="s">
        <v>4426</v>
      </c>
      <c r="B74" s="423" t="str">
        <f t="shared" si="5"/>
        <v>· B5 – Biodiversità</v>
      </c>
      <c r="C74" s="422" t="s">
        <v>3669</v>
      </c>
      <c r="D74" s="470" t="s">
        <v>8087</v>
      </c>
      <c r="E74" s="470" t="s">
        <v>8952</v>
      </c>
      <c r="F74" s="471" t="s">
        <v>7617</v>
      </c>
      <c r="G74" t="s">
        <v>9126</v>
      </c>
      <c r="H74" s="456" t="s">
        <v>8981</v>
      </c>
      <c r="I74" s="89" t="s">
        <v>9007</v>
      </c>
      <c r="J74" s="89" t="s">
        <v>7524</v>
      </c>
      <c r="K74" s="456" t="s">
        <v>9045</v>
      </c>
    </row>
    <row r="75" spans="1:11" ht="28.8" x14ac:dyDescent="0.3">
      <c r="A75" s="422" t="s">
        <v>4427</v>
      </c>
      <c r="B75" s="423" t="str">
        <f t="shared" si="5"/>
        <v>Siti all'interno di un'area sensibile sotto il profilo della biodiversità</v>
      </c>
      <c r="C75" s="422" t="s">
        <v>4388</v>
      </c>
      <c r="D75" s="470" t="s">
        <v>8088</v>
      </c>
      <c r="E75" s="470" t="s">
        <v>8562</v>
      </c>
      <c r="F75" s="471" t="s">
        <v>7618</v>
      </c>
      <c r="G75" t="s">
        <v>9127</v>
      </c>
      <c r="H75" s="89" t="s">
        <v>6848</v>
      </c>
      <c r="I75" s="89" t="s">
        <v>6171</v>
      </c>
      <c r="J75" s="89" t="s">
        <v>7214</v>
      </c>
      <c r="K75" s="456" t="s">
        <v>6554</v>
      </c>
    </row>
    <row r="76" spans="1:11" x14ac:dyDescent="0.3">
      <c r="A76" s="422" t="s">
        <v>4428</v>
      </c>
      <c r="B76" s="423" t="str">
        <f t="shared" si="5"/>
        <v>Biodiversità - Uso del suolo</v>
      </c>
      <c r="C76" s="422" t="s">
        <v>4389</v>
      </c>
      <c r="D76" s="470" t="s">
        <v>8089</v>
      </c>
      <c r="E76" s="470" t="s">
        <v>8563</v>
      </c>
      <c r="F76" s="471" t="s">
        <v>7619</v>
      </c>
      <c r="G76" t="s">
        <v>9128</v>
      </c>
      <c r="H76" s="89" t="s">
        <v>6849</v>
      </c>
      <c r="I76" s="89" t="s">
        <v>6172</v>
      </c>
      <c r="J76" s="89" t="s">
        <v>5830</v>
      </c>
      <c r="K76" s="456" t="s">
        <v>5712</v>
      </c>
    </row>
    <row r="77" spans="1:11" x14ac:dyDescent="0.3">
      <c r="A77" s="422" t="s">
        <v>4429</v>
      </c>
      <c r="B77" s="423" t="str">
        <f t="shared" si="5"/>
        <v>· B6 –   Acque</v>
      </c>
      <c r="C77" s="422" t="s">
        <v>3693</v>
      </c>
      <c r="D77" s="470" t="s">
        <v>8090</v>
      </c>
      <c r="E77" s="470" t="s">
        <v>8953</v>
      </c>
      <c r="F77" s="471" t="s">
        <v>7620</v>
      </c>
      <c r="G77" t="s">
        <v>9129</v>
      </c>
      <c r="H77" s="89" t="s">
        <v>8982</v>
      </c>
      <c r="I77" s="89" t="s">
        <v>9008</v>
      </c>
      <c r="J77" s="89" t="s">
        <v>7525</v>
      </c>
      <c r="K77" s="456" t="s">
        <v>9046</v>
      </c>
    </row>
    <row r="78" spans="1:11" x14ac:dyDescent="0.3">
      <c r="A78" s="422" t="s">
        <v>4430</v>
      </c>
      <c r="B78" s="423" t="str">
        <f t="shared" si="5"/>
        <v xml:space="preserve">Prelievo idrico
</v>
      </c>
      <c r="C78" s="422" t="s">
        <v>4390</v>
      </c>
      <c r="D78" s="470" t="s">
        <v>8091</v>
      </c>
      <c r="E78" s="470" t="s">
        <v>8564</v>
      </c>
      <c r="F78" s="471" t="s">
        <v>7621</v>
      </c>
      <c r="G78" t="s">
        <v>9130</v>
      </c>
      <c r="H78" s="89" t="s">
        <v>6850</v>
      </c>
      <c r="I78" s="89" t="s">
        <v>5913</v>
      </c>
      <c r="J78" s="89" t="s">
        <v>7215</v>
      </c>
      <c r="K78" s="456" t="s">
        <v>5713</v>
      </c>
    </row>
    <row r="79" spans="1:11" x14ac:dyDescent="0.3">
      <c r="A79" s="422" t="s">
        <v>4431</v>
      </c>
      <c r="B79" s="423" t="str">
        <f t="shared" si="5"/>
        <v>Consumo idrico</v>
      </c>
      <c r="C79" s="422" t="s">
        <v>4391</v>
      </c>
      <c r="D79" s="470" t="s">
        <v>8092</v>
      </c>
      <c r="E79" s="470" t="s">
        <v>8565</v>
      </c>
      <c r="F79" s="471" t="s">
        <v>7622</v>
      </c>
      <c r="G79" t="s">
        <v>9131</v>
      </c>
      <c r="H79" s="89" t="s">
        <v>5993</v>
      </c>
      <c r="I79" s="89" t="s">
        <v>5914</v>
      </c>
      <c r="J79" s="89" t="s">
        <v>7216</v>
      </c>
      <c r="K79" s="456" t="s">
        <v>5714</v>
      </c>
    </row>
    <row r="80" spans="1:11" ht="28.8" x14ac:dyDescent="0.3">
      <c r="A80" s="422" t="s">
        <v>4432</v>
      </c>
      <c r="B80" s="423" t="str">
        <f t="shared" si="5"/>
        <v>· B7 – Uso delle risorse, economia circolare e gestione dei rifiuti</v>
      </c>
      <c r="C80" s="422" t="s">
        <v>3694</v>
      </c>
      <c r="D80" s="470" t="s">
        <v>8093</v>
      </c>
      <c r="E80" s="470" t="s">
        <v>8954</v>
      </c>
      <c r="F80" s="471" t="s">
        <v>7623</v>
      </c>
      <c r="G80" t="s">
        <v>9132</v>
      </c>
      <c r="H80" s="89" t="s">
        <v>6851</v>
      </c>
      <c r="I80" s="89" t="s">
        <v>9009</v>
      </c>
      <c r="J80" s="89" t="s">
        <v>7515</v>
      </c>
      <c r="K80" s="456" t="s">
        <v>6555</v>
      </c>
    </row>
    <row r="81" spans="1:11" x14ac:dyDescent="0.3">
      <c r="A81" s="422" t="s">
        <v>4433</v>
      </c>
      <c r="B81" s="423" t="str">
        <f t="shared" si="5"/>
        <v>Descrizione dei principi dell'economia circolare</v>
      </c>
      <c r="C81" s="422" t="s">
        <v>4392</v>
      </c>
      <c r="D81" s="470" t="s">
        <v>8094</v>
      </c>
      <c r="E81" s="470" t="s">
        <v>8566</v>
      </c>
      <c r="F81" s="471" t="s">
        <v>7624</v>
      </c>
      <c r="G81" t="s">
        <v>9133</v>
      </c>
      <c r="H81" s="89" t="s">
        <v>5994</v>
      </c>
      <c r="I81" s="89" t="s">
        <v>6173</v>
      </c>
      <c r="J81" s="89" t="s">
        <v>5831</v>
      </c>
      <c r="K81" s="456" t="s">
        <v>5715</v>
      </c>
    </row>
    <row r="82" spans="1:11" x14ac:dyDescent="0.3">
      <c r="A82" s="422" t="s">
        <v>4434</v>
      </c>
      <c r="B82" s="423" t="str">
        <f t="shared" si="5"/>
        <v>Rifiuti generati</v>
      </c>
      <c r="C82" s="422" t="s">
        <v>4393</v>
      </c>
      <c r="D82" s="470" t="s">
        <v>8095</v>
      </c>
      <c r="E82" s="470" t="s">
        <v>8567</v>
      </c>
      <c r="F82" s="471" t="s">
        <v>7625</v>
      </c>
      <c r="G82" t="s">
        <v>9134</v>
      </c>
      <c r="H82" s="89" t="s">
        <v>5995</v>
      </c>
      <c r="I82" s="89" t="s">
        <v>6174</v>
      </c>
      <c r="J82" s="89" t="s">
        <v>7217</v>
      </c>
      <c r="K82" s="456" t="s">
        <v>5716</v>
      </c>
    </row>
    <row r="83" spans="1:11" ht="28.8" x14ac:dyDescent="0.3">
      <c r="A83" s="422" t="s">
        <v>4435</v>
      </c>
      <c r="B83" s="423" t="str">
        <f t="shared" si="5"/>
        <v>Flusso di massa annuo dei materiali pertinenti utilizzati</v>
      </c>
      <c r="C83" s="422" t="s">
        <v>4394</v>
      </c>
      <c r="D83" s="470" t="s">
        <v>8096</v>
      </c>
      <c r="E83" s="479" t="s">
        <v>8568</v>
      </c>
      <c r="F83" s="471" t="s">
        <v>7626</v>
      </c>
      <c r="G83" t="s">
        <v>9135</v>
      </c>
      <c r="H83" s="89" t="s">
        <v>6852</v>
      </c>
      <c r="I83" s="89" t="s">
        <v>6175</v>
      </c>
      <c r="J83" s="89" t="s">
        <v>7218</v>
      </c>
      <c r="K83" s="456" t="s">
        <v>6556</v>
      </c>
    </row>
    <row r="84" spans="1:11" x14ac:dyDescent="0.3">
      <c r="A84" s="422" t="s">
        <v>4436</v>
      </c>
      <c r="B84" s="423" t="str">
        <f t="shared" si="5"/>
        <v>Informative sociali</v>
      </c>
      <c r="C84" s="422" t="s">
        <v>3667</v>
      </c>
      <c r="D84" s="470" t="s">
        <v>8097</v>
      </c>
      <c r="E84" s="470" t="s">
        <v>8569</v>
      </c>
      <c r="F84" s="471" t="s">
        <v>7627</v>
      </c>
      <c r="G84" t="s">
        <v>9136</v>
      </c>
      <c r="H84" s="89" t="s">
        <v>6853</v>
      </c>
      <c r="I84" s="89" t="s">
        <v>6176</v>
      </c>
      <c r="J84" s="89" t="s">
        <v>7219</v>
      </c>
      <c r="K84" s="456" t="s">
        <v>6557</v>
      </c>
    </row>
    <row r="85" spans="1:11" x14ac:dyDescent="0.3">
      <c r="A85" s="422" t="s">
        <v>4437</v>
      </c>
      <c r="B85" s="423" t="str">
        <f t="shared" si="5"/>
        <v>· B8 - Forza lavoro - Caratteristiche generali</v>
      </c>
      <c r="C85" s="422" t="s">
        <v>3697</v>
      </c>
      <c r="D85" s="470" t="s">
        <v>8098</v>
      </c>
      <c r="E85" s="470" t="s">
        <v>8955</v>
      </c>
      <c r="F85" s="471" t="s">
        <v>7628</v>
      </c>
      <c r="G85" t="s">
        <v>9137</v>
      </c>
      <c r="H85" s="89" t="s">
        <v>8983</v>
      </c>
      <c r="I85" s="89" t="s">
        <v>9010</v>
      </c>
      <c r="J85" s="89" t="s">
        <v>7514</v>
      </c>
      <c r="K85" s="456" t="s">
        <v>9047</v>
      </c>
    </row>
    <row r="86" spans="1:11" x14ac:dyDescent="0.3">
      <c r="A86" s="422" t="s">
        <v>4438</v>
      </c>
      <c r="B86" s="423" t="str">
        <f t="shared" si="5"/>
        <v>Tipo di contratto</v>
      </c>
      <c r="C86" s="422" t="s">
        <v>22</v>
      </c>
      <c r="D86" s="470" t="s">
        <v>8099</v>
      </c>
      <c r="E86" s="470" t="s">
        <v>8570</v>
      </c>
      <c r="F86" s="471" t="s">
        <v>7629</v>
      </c>
      <c r="G86" t="s">
        <v>9138</v>
      </c>
      <c r="H86" s="89" t="s">
        <v>6854</v>
      </c>
      <c r="I86" s="89" t="s">
        <v>5915</v>
      </c>
      <c r="J86" s="89" t="s">
        <v>5717</v>
      </c>
      <c r="K86" s="456" t="s">
        <v>5717</v>
      </c>
    </row>
    <row r="87" spans="1:11" x14ac:dyDescent="0.3">
      <c r="A87" s="422" t="s">
        <v>4439</v>
      </c>
      <c r="B87" s="423" t="str">
        <f t="shared" si="5"/>
        <v>Genere</v>
      </c>
      <c r="C87" s="422" t="s">
        <v>25</v>
      </c>
      <c r="D87" s="470" t="s">
        <v>8100</v>
      </c>
      <c r="E87" s="470" t="s">
        <v>8571</v>
      </c>
      <c r="F87" s="471" t="s">
        <v>7630</v>
      </c>
      <c r="G87" t="s">
        <v>9139</v>
      </c>
      <c r="H87" s="89" t="s">
        <v>5996</v>
      </c>
      <c r="I87" s="89" t="s">
        <v>5916</v>
      </c>
      <c r="J87" s="89" t="s">
        <v>5718</v>
      </c>
      <c r="K87" s="456" t="s">
        <v>5718</v>
      </c>
    </row>
    <row r="88" spans="1:11" x14ac:dyDescent="0.3">
      <c r="A88" s="422" t="s">
        <v>4440</v>
      </c>
      <c r="B88" s="423" t="str">
        <f t="shared" si="5"/>
        <v>Paese del contratto di lavoro</v>
      </c>
      <c r="C88" s="422" t="s">
        <v>4395</v>
      </c>
      <c r="D88" s="470" t="s">
        <v>8101</v>
      </c>
      <c r="E88" s="470" t="s">
        <v>8572</v>
      </c>
      <c r="F88" s="471" t="s">
        <v>7631</v>
      </c>
      <c r="G88" t="s">
        <v>9140</v>
      </c>
      <c r="H88" s="89" t="s">
        <v>6855</v>
      </c>
      <c r="I88" s="89" t="s">
        <v>5917</v>
      </c>
      <c r="J88" s="89" t="s">
        <v>5832</v>
      </c>
      <c r="K88" s="456" t="s">
        <v>5719</v>
      </c>
    </row>
    <row r="89" spans="1:11" x14ac:dyDescent="0.3">
      <c r="A89" s="422" t="s">
        <v>4441</v>
      </c>
      <c r="B89" s="423" t="str">
        <f t="shared" si="5"/>
        <v>Tasso di avvicendamento</v>
      </c>
      <c r="C89" s="422" t="s">
        <v>4396</v>
      </c>
      <c r="D89" s="470" t="s">
        <v>8102</v>
      </c>
      <c r="E89" s="470" t="s">
        <v>8573</v>
      </c>
      <c r="F89" s="471" t="s">
        <v>7632</v>
      </c>
      <c r="G89" t="s">
        <v>9141</v>
      </c>
      <c r="H89" s="89" t="s">
        <v>5997</v>
      </c>
      <c r="I89" s="89" t="s">
        <v>5918</v>
      </c>
      <c r="J89" s="89" t="s">
        <v>5833</v>
      </c>
      <c r="K89" s="456" t="s">
        <v>5720</v>
      </c>
    </row>
    <row r="90" spans="1:11" x14ac:dyDescent="0.3">
      <c r="A90" s="422" t="s">
        <v>4442</v>
      </c>
      <c r="B90" s="423" t="str">
        <f t="shared" si="5"/>
        <v>· B9 – Forza lavoro – Salute e sicurezza</v>
      </c>
      <c r="C90" s="422" t="s">
        <v>3698</v>
      </c>
      <c r="D90" s="470" t="s">
        <v>8103</v>
      </c>
      <c r="E90" s="470" t="s">
        <v>8956</v>
      </c>
      <c r="F90" s="471" t="s">
        <v>7633</v>
      </c>
      <c r="G90" t="s">
        <v>9142</v>
      </c>
      <c r="H90" s="89" t="s">
        <v>8984</v>
      </c>
      <c r="I90" s="89" t="s">
        <v>9011</v>
      </c>
      <c r="J90" s="89" t="s">
        <v>7513</v>
      </c>
      <c r="K90" s="456" t="s">
        <v>9048</v>
      </c>
    </row>
    <row r="91" spans="1:11" ht="28.8" x14ac:dyDescent="0.3">
      <c r="A91" s="422" t="s">
        <v>4443</v>
      </c>
      <c r="B91" s="423" t="str">
        <f t="shared" si="5"/>
        <v xml:space="preserve">· B10 – Forza lavoro – Retribuzione, contrattazione collettiva e formazione
</v>
      </c>
      <c r="C91" s="422" t="s">
        <v>4397</v>
      </c>
      <c r="D91" s="470" t="s">
        <v>8104</v>
      </c>
      <c r="E91" s="470" t="s">
        <v>8957</v>
      </c>
      <c r="F91" s="471" t="s">
        <v>7634</v>
      </c>
      <c r="G91" t="s">
        <v>9143</v>
      </c>
      <c r="H91" s="89" t="s">
        <v>8985</v>
      </c>
      <c r="I91" s="89" t="s">
        <v>9012</v>
      </c>
      <c r="J91" s="89" t="s">
        <v>6086</v>
      </c>
      <c r="K91" s="456" t="s">
        <v>9049</v>
      </c>
    </row>
    <row r="92" spans="1:11" x14ac:dyDescent="0.3">
      <c r="A92" s="422" t="s">
        <v>4444</v>
      </c>
      <c r="B92" s="423" t="str">
        <f t="shared" si="5"/>
        <v>Informative sulla governance</v>
      </c>
      <c r="C92" s="422" t="s">
        <v>3668</v>
      </c>
      <c r="D92" s="470" t="s">
        <v>8105</v>
      </c>
      <c r="E92" s="470" t="s">
        <v>8575</v>
      </c>
      <c r="F92" s="471" t="s">
        <v>7635</v>
      </c>
      <c r="G92" t="s">
        <v>9144</v>
      </c>
      <c r="H92" s="89" t="s">
        <v>6856</v>
      </c>
      <c r="I92" s="89" t="s">
        <v>6178</v>
      </c>
      <c r="J92" s="89" t="s">
        <v>7221</v>
      </c>
      <c r="K92" s="456" t="s">
        <v>6477</v>
      </c>
    </row>
    <row r="93" spans="1:11" ht="28.8" x14ac:dyDescent="0.3">
      <c r="A93" s="422" t="s">
        <v>4445</v>
      </c>
      <c r="B93" s="423" t="str">
        <f t="shared" si="5"/>
        <v>· B11 - Condanne e ammende per corruzione attiva e passiva</v>
      </c>
      <c r="C93" s="422" t="s">
        <v>3703</v>
      </c>
      <c r="D93" s="470" t="s">
        <v>8106</v>
      </c>
      <c r="E93" s="470" t="s">
        <v>8958</v>
      </c>
      <c r="F93" s="471" t="s">
        <v>7636</v>
      </c>
      <c r="G93" t="s">
        <v>9145</v>
      </c>
      <c r="H93" s="89" t="s">
        <v>8986</v>
      </c>
      <c r="I93" s="89" t="s">
        <v>9013</v>
      </c>
      <c r="J93" s="89" t="s">
        <v>7512</v>
      </c>
      <c r="K93" s="456" t="s">
        <v>9050</v>
      </c>
    </row>
    <row r="94" spans="1:11" x14ac:dyDescent="0.3">
      <c r="A94" s="422" t="s">
        <v>4446</v>
      </c>
      <c r="B94" s="423" t="str">
        <f t="shared" si="5"/>
        <v>Modulo onnicomprensivo</v>
      </c>
      <c r="C94" s="422" t="s">
        <v>2885</v>
      </c>
      <c r="D94" s="470" t="s">
        <v>8107</v>
      </c>
      <c r="E94" s="470" t="s">
        <v>8531</v>
      </c>
      <c r="F94" s="471" t="s">
        <v>7583</v>
      </c>
      <c r="G94" t="s">
        <v>9146</v>
      </c>
      <c r="H94" s="89" t="s">
        <v>6857</v>
      </c>
      <c r="I94" s="89" t="s">
        <v>6149</v>
      </c>
      <c r="J94" s="89" t="s">
        <v>7222</v>
      </c>
      <c r="K94" s="456" t="s">
        <v>5705</v>
      </c>
    </row>
    <row r="95" spans="1:11" ht="57.6" x14ac:dyDescent="0.3">
      <c r="A95" s="422" t="s">
        <v>4447</v>
      </c>
      <c r="B95" s="423" t="str">
        <f t="shared" si="5"/>
        <v>· C1 - Strategia: modello aziendale e iniziative connesse alla sostenibilità</v>
      </c>
      <c r="C95" s="422" t="s">
        <v>3688</v>
      </c>
      <c r="D95" s="470" t="s">
        <v>8108</v>
      </c>
      <c r="E95" s="470" t="s">
        <v>8959</v>
      </c>
      <c r="F95" s="471" t="s">
        <v>7637</v>
      </c>
      <c r="G95" t="s">
        <v>9147</v>
      </c>
      <c r="H95" s="89" t="s">
        <v>8987</v>
      </c>
      <c r="I95" s="89" t="s">
        <v>9014</v>
      </c>
      <c r="J95" s="89" t="s">
        <v>7223</v>
      </c>
      <c r="K95" s="456" t="s">
        <v>6500</v>
      </c>
    </row>
    <row r="96" spans="1:11" ht="43.2" x14ac:dyDescent="0.3">
      <c r="A96" s="422" t="s">
        <v>4448</v>
      </c>
      <c r="B96" s="423" t="str">
        <f t="shared" si="5"/>
        <v>· C2 – Descrizione delle pratiche, delle politiche e delle iniziative future per la transizione verso un'economia più sostenibile</v>
      </c>
      <c r="C96" s="422" t="s">
        <v>3689</v>
      </c>
      <c r="D96" s="470" t="s">
        <v>8109</v>
      </c>
      <c r="E96" s="470" t="s">
        <v>8960</v>
      </c>
      <c r="F96" s="471" t="s">
        <v>7638</v>
      </c>
      <c r="G96" t="s">
        <v>9148</v>
      </c>
      <c r="H96" s="89" t="s">
        <v>8988</v>
      </c>
      <c r="I96" s="89" t="s">
        <v>9015</v>
      </c>
      <c r="J96" s="89" t="s">
        <v>5834</v>
      </c>
      <c r="K96" s="456" t="s">
        <v>6782</v>
      </c>
    </row>
    <row r="97" spans="1:11" ht="28.8" x14ac:dyDescent="0.3">
      <c r="A97" s="422" t="s">
        <v>4449</v>
      </c>
      <c r="B97" s="423" t="str">
        <f t="shared" si="5"/>
        <v>· C3 – Obiettivi di riduzione delle emissioni di gas a effetto serra e transizione climatica</v>
      </c>
      <c r="C97" s="422" t="s">
        <v>3695</v>
      </c>
      <c r="D97" s="470" t="s">
        <v>8110</v>
      </c>
      <c r="E97" s="470" t="s">
        <v>8961</v>
      </c>
      <c r="F97" s="471" t="s">
        <v>7639</v>
      </c>
      <c r="G97" t="s">
        <v>9149</v>
      </c>
      <c r="H97" s="89" t="s">
        <v>8989</v>
      </c>
      <c r="I97" s="89" t="s">
        <v>9016</v>
      </c>
      <c r="J97" s="89" t="s">
        <v>7224</v>
      </c>
      <c r="K97" s="456" t="s">
        <v>6559</v>
      </c>
    </row>
    <row r="98" spans="1:11" x14ac:dyDescent="0.3">
      <c r="A98" s="422" t="s">
        <v>4450</v>
      </c>
      <c r="B98" s="423" t="str">
        <f t="shared" si="5"/>
        <v>Obiettivi di riduzione delle emissioni di gas a effetto serra (in tCO2e)</v>
      </c>
      <c r="C98" s="422" t="s">
        <v>4398</v>
      </c>
      <c r="D98" s="470" t="s">
        <v>8111</v>
      </c>
      <c r="E98" s="455" t="s">
        <v>8578</v>
      </c>
      <c r="F98" s="471" t="s">
        <v>7640</v>
      </c>
      <c r="G98" t="s">
        <v>9150</v>
      </c>
      <c r="H98" s="89" t="s">
        <v>6858</v>
      </c>
      <c r="I98" s="89" t="s">
        <v>6180</v>
      </c>
      <c r="J98" s="89" t="s">
        <v>7277</v>
      </c>
      <c r="K98" s="456" t="s">
        <v>6560</v>
      </c>
    </row>
    <row r="99" spans="1:11" ht="28.8" x14ac:dyDescent="0.3">
      <c r="A99" s="422" t="s">
        <v>4451</v>
      </c>
      <c r="B99" s="423" t="str">
        <f t="shared" si="5"/>
        <v>Informativa dell'elenco delle principali azioni che l'impresa intende attuare per conseguire i propri obiettivi</v>
      </c>
      <c r="C99" s="422" t="s">
        <v>4399</v>
      </c>
      <c r="D99" s="470" t="s">
        <v>8112</v>
      </c>
      <c r="E99" s="470" t="s">
        <v>8579</v>
      </c>
      <c r="F99" s="471" t="s">
        <v>7641</v>
      </c>
      <c r="G99" t="s">
        <v>9151</v>
      </c>
      <c r="H99" s="89" t="s">
        <v>6859</v>
      </c>
      <c r="I99" s="89" t="s">
        <v>6181</v>
      </c>
      <c r="J99" s="89" t="s">
        <v>7225</v>
      </c>
      <c r="K99" s="456" t="s">
        <v>6561</v>
      </c>
    </row>
    <row r="100" spans="1:11" ht="28.8" x14ac:dyDescent="0.3">
      <c r="A100" s="422" t="s">
        <v>4452</v>
      </c>
      <c r="B100" s="423" t="str">
        <f t="shared" si="5"/>
        <v>Piano di transizione per le imprese che operano in settori ad alto impatto climatico</v>
      </c>
      <c r="C100" s="422" t="s">
        <v>4400</v>
      </c>
      <c r="D100" s="470" t="s">
        <v>8113</v>
      </c>
      <c r="E100" s="470" t="s">
        <v>8580</v>
      </c>
      <c r="F100" s="471" t="s">
        <v>7642</v>
      </c>
      <c r="G100" t="s">
        <v>9152</v>
      </c>
      <c r="H100" s="89" t="s">
        <v>6860</v>
      </c>
      <c r="I100" s="89" t="s">
        <v>6182</v>
      </c>
      <c r="J100" s="89" t="s">
        <v>5835</v>
      </c>
      <c r="K100" s="456" t="s">
        <v>6562</v>
      </c>
    </row>
    <row r="101" spans="1:11" x14ac:dyDescent="0.3">
      <c r="A101" s="422" t="s">
        <v>4453</v>
      </c>
      <c r="B101" s="423" t="str">
        <f t="shared" si="5"/>
        <v>· C4 - Rischi climatici</v>
      </c>
      <c r="C101" s="422" t="s">
        <v>3696</v>
      </c>
      <c r="D101" s="470" t="s">
        <v>8114</v>
      </c>
      <c r="E101" s="470" t="s">
        <v>8962</v>
      </c>
      <c r="F101" s="471" t="s">
        <v>7643</v>
      </c>
      <c r="G101" t="s">
        <v>9153</v>
      </c>
      <c r="H101" s="89" t="s">
        <v>8990</v>
      </c>
      <c r="I101" s="89" t="s">
        <v>9017</v>
      </c>
      <c r="J101" s="89" t="s">
        <v>7511</v>
      </c>
      <c r="K101" s="456" t="s">
        <v>5721</v>
      </c>
    </row>
    <row r="102" spans="1:11" ht="28.8" x14ac:dyDescent="0.3">
      <c r="A102" s="422" t="s">
        <v>4454</v>
      </c>
      <c r="B102" s="423" t="str">
        <f t="shared" si="5"/>
        <v>· C5 – Altre caratteristiche (generali) della forza lavoro</v>
      </c>
      <c r="C102" s="422" t="s">
        <v>3699</v>
      </c>
      <c r="D102" s="470" t="s">
        <v>8115</v>
      </c>
      <c r="E102" s="470" t="s">
        <v>8963</v>
      </c>
      <c r="F102" s="471" t="s">
        <v>7644</v>
      </c>
      <c r="G102" t="s">
        <v>9154</v>
      </c>
      <c r="H102" s="89" t="s">
        <v>6861</v>
      </c>
      <c r="I102" s="89" t="s">
        <v>9018</v>
      </c>
      <c r="J102" s="89" t="s">
        <v>7227</v>
      </c>
      <c r="K102" s="456" t="s">
        <v>9051</v>
      </c>
    </row>
    <row r="103" spans="1:11" ht="43.2" x14ac:dyDescent="0.3">
      <c r="A103" s="422" t="s">
        <v>4455</v>
      </c>
      <c r="B103" s="423" t="str">
        <f t="shared" si="5"/>
        <v>· C6 - Altre informazioni sulla forza lavoro propria – Politiche e procedure in materia di diritti umani</v>
      </c>
      <c r="C103" s="422" t="s">
        <v>3700</v>
      </c>
      <c r="D103" s="470" t="s">
        <v>8116</v>
      </c>
      <c r="E103" s="470" t="s">
        <v>8964</v>
      </c>
      <c r="F103" s="471" t="s">
        <v>7645</v>
      </c>
      <c r="G103" t="s">
        <v>9155</v>
      </c>
      <c r="H103" s="89" t="s">
        <v>8991</v>
      </c>
      <c r="I103" s="89" t="s">
        <v>9019</v>
      </c>
      <c r="J103" s="89" t="s">
        <v>7228</v>
      </c>
      <c r="K103" s="456" t="s">
        <v>9052</v>
      </c>
    </row>
    <row r="104" spans="1:11" ht="28.8" x14ac:dyDescent="0.3">
      <c r="A104" s="422" t="s">
        <v>4456</v>
      </c>
      <c r="B104" s="423" t="str">
        <f t="shared" si="5"/>
        <v xml:space="preserve">· C7 - Incidenti gravi in materia di diritti umani
</v>
      </c>
      <c r="C104" s="422" t="s">
        <v>3701</v>
      </c>
      <c r="D104" s="470" t="s">
        <v>8117</v>
      </c>
      <c r="E104" s="470" t="s">
        <v>8965</v>
      </c>
      <c r="F104" s="471" t="s">
        <v>7646</v>
      </c>
      <c r="G104" t="s">
        <v>9156</v>
      </c>
      <c r="H104" s="89" t="s">
        <v>8992</v>
      </c>
      <c r="I104" s="89" t="s">
        <v>9020</v>
      </c>
      <c r="J104" s="89" t="s">
        <v>7229</v>
      </c>
      <c r="K104" s="456" t="s">
        <v>6565</v>
      </c>
    </row>
    <row r="105" spans="1:11" ht="28.8" x14ac:dyDescent="0.3">
      <c r="A105" s="422" t="s">
        <v>4457</v>
      </c>
      <c r="B105" s="423" t="str">
        <f t="shared" si="5"/>
        <v>· C8 – Ricavi da determinate attività ed esclusione dagli indici di riferimento dell'UE</v>
      </c>
      <c r="C105" s="422" t="s">
        <v>6459</v>
      </c>
      <c r="D105" s="470" t="s">
        <v>8118</v>
      </c>
      <c r="E105" s="470" t="s">
        <v>8966</v>
      </c>
      <c r="F105" s="471" t="s">
        <v>7647</v>
      </c>
      <c r="G105" t="s">
        <v>9157</v>
      </c>
      <c r="H105" s="89" t="s">
        <v>8993</v>
      </c>
      <c r="I105" s="89" t="s">
        <v>9021</v>
      </c>
      <c r="J105" s="89" t="s">
        <v>7535</v>
      </c>
      <c r="K105" s="456" t="s">
        <v>9053</v>
      </c>
    </row>
    <row r="106" spans="1:11" x14ac:dyDescent="0.3">
      <c r="A106" s="422" t="s">
        <v>4458</v>
      </c>
      <c r="B106" s="423" t="str">
        <f t="shared" si="5"/>
        <v>Ricavi da determinate attività</v>
      </c>
      <c r="C106" s="422" t="s">
        <v>6460</v>
      </c>
      <c r="D106" s="470" t="s">
        <v>8119</v>
      </c>
      <c r="E106" s="470" t="s">
        <v>8584</v>
      </c>
      <c r="F106" s="471" t="s">
        <v>7648</v>
      </c>
      <c r="G106" t="s">
        <v>9158</v>
      </c>
      <c r="H106" t="s">
        <v>7167</v>
      </c>
      <c r="I106" s="89" t="s">
        <v>6186</v>
      </c>
      <c r="J106" s="89" t="s">
        <v>7534</v>
      </c>
      <c r="K106" s="456" t="s">
        <v>6796</v>
      </c>
    </row>
    <row r="107" spans="1:11" x14ac:dyDescent="0.3">
      <c r="A107" s="422" t="s">
        <v>4459</v>
      </c>
      <c r="B107" s="423" t="str">
        <f t="shared" si="5"/>
        <v>Esclusione dagli indici di riferimento dell'UE</v>
      </c>
      <c r="C107" s="422" t="s">
        <v>4401</v>
      </c>
      <c r="D107" s="470" t="s">
        <v>8120</v>
      </c>
      <c r="E107" s="470" t="s">
        <v>8585</v>
      </c>
      <c r="F107" s="471" t="s">
        <v>7649</v>
      </c>
      <c r="G107" t="s">
        <v>9159</v>
      </c>
      <c r="H107" s="89" t="s">
        <v>6862</v>
      </c>
      <c r="I107" s="89" t="s">
        <v>5919</v>
      </c>
      <c r="J107" s="89" t="s">
        <v>5836</v>
      </c>
      <c r="K107" s="456" t="s">
        <v>5722</v>
      </c>
    </row>
    <row r="108" spans="1:11" x14ac:dyDescent="0.3">
      <c r="A108" s="422" t="s">
        <v>4460</v>
      </c>
      <c r="B108" s="423" t="str">
        <f t="shared" si="5"/>
        <v>· C9 - Diversità di genere nell'organo di governance</v>
      </c>
      <c r="C108" s="422" t="s">
        <v>3704</v>
      </c>
      <c r="D108" s="470" t="s">
        <v>8121</v>
      </c>
      <c r="E108" s="470" t="s">
        <v>8967</v>
      </c>
      <c r="F108" s="471" t="s">
        <v>7650</v>
      </c>
      <c r="G108" t="s">
        <v>9160</v>
      </c>
      <c r="H108" s="89" t="s">
        <v>8994</v>
      </c>
      <c r="I108" s="89" t="s">
        <v>9022</v>
      </c>
      <c r="J108" s="89" t="s">
        <v>5837</v>
      </c>
      <c r="K108" s="456" t="s">
        <v>9054</v>
      </c>
    </row>
    <row r="109" spans="1:11" x14ac:dyDescent="0.3">
      <c r="A109" s="422" t="s">
        <v>4461</v>
      </c>
      <c r="B109" s="423" t="str">
        <f t="shared" si="5"/>
        <v>Ulteriori informative</v>
      </c>
      <c r="C109" s="422" t="s">
        <v>3723</v>
      </c>
      <c r="D109" s="470" t="s">
        <v>8122</v>
      </c>
      <c r="E109" s="470" t="s">
        <v>8587</v>
      </c>
      <c r="F109" s="471" t="s">
        <v>7651</v>
      </c>
      <c r="G109" t="s">
        <v>9161</v>
      </c>
      <c r="H109" s="89" t="s">
        <v>6863</v>
      </c>
      <c r="I109" s="89" t="s">
        <v>6187</v>
      </c>
      <c r="J109" s="89" t="s">
        <v>7230</v>
      </c>
      <c r="K109" s="456" t="s">
        <v>5723</v>
      </c>
    </row>
    <row r="110" spans="1:11" ht="57.6" x14ac:dyDescent="0.3">
      <c r="A110" s="422" t="s">
        <v>4462</v>
      </c>
      <c r="B110" s="423" t="str">
        <f t="shared" si="5"/>
        <v>· Comunicazione di qualsiasi altra informazione generale e/o specifica per soggetto nel periodo di riferimento</v>
      </c>
      <c r="C110" s="422" t="s">
        <v>3690</v>
      </c>
      <c r="D110" s="470" t="s">
        <v>8123</v>
      </c>
      <c r="E110" s="470" t="s">
        <v>8968</v>
      </c>
      <c r="F110" s="471" t="s">
        <v>7652</v>
      </c>
      <c r="G110" t="s">
        <v>9162</v>
      </c>
      <c r="H110" s="89" t="s">
        <v>6864</v>
      </c>
      <c r="I110" s="89" t="s">
        <v>9023</v>
      </c>
      <c r="J110" s="89" t="s">
        <v>9036</v>
      </c>
      <c r="K110" s="456" t="s">
        <v>9055</v>
      </c>
    </row>
    <row r="111" spans="1:11" ht="28.8" x14ac:dyDescent="0.3">
      <c r="A111" s="422" t="s">
        <v>4463</v>
      </c>
      <c r="B111" s="423" t="str">
        <f t="shared" si="5"/>
        <v>· Comunicazione di qualsiasi altra informazione ambientale e/o specifica per soggetto</v>
      </c>
      <c r="C111" s="422" t="s">
        <v>4402</v>
      </c>
      <c r="D111" s="470" t="s">
        <v>8124</v>
      </c>
      <c r="E111" s="470" t="s">
        <v>8969</v>
      </c>
      <c r="F111" s="471" t="s">
        <v>7653</v>
      </c>
      <c r="G111" t="s">
        <v>9163</v>
      </c>
      <c r="H111" s="89" t="s">
        <v>6865</v>
      </c>
      <c r="I111" s="89" t="s">
        <v>9024</v>
      </c>
      <c r="J111" s="89" t="s">
        <v>9037</v>
      </c>
      <c r="K111" s="456" t="s">
        <v>9056</v>
      </c>
    </row>
    <row r="112" spans="1:11" ht="28.8" x14ac:dyDescent="0.3">
      <c r="A112" s="422" t="s">
        <v>4464</v>
      </c>
      <c r="B112" s="423" t="str">
        <f t="shared" si="5"/>
        <v>· Comunicazione di qualsiasi altra informazione sociale e/o specifica per soggetto</v>
      </c>
      <c r="C112" s="422" t="s">
        <v>3702</v>
      </c>
      <c r="D112" s="470" t="s">
        <v>8125</v>
      </c>
      <c r="E112" s="470" t="s">
        <v>8970</v>
      </c>
      <c r="F112" s="471" t="s">
        <v>7654</v>
      </c>
      <c r="G112" t="s">
        <v>9164</v>
      </c>
      <c r="H112" s="89" t="s">
        <v>6866</v>
      </c>
      <c r="I112" s="89" t="s">
        <v>9025</v>
      </c>
      <c r="J112" s="89" t="s">
        <v>9038</v>
      </c>
      <c r="K112" s="456" t="s">
        <v>9057</v>
      </c>
    </row>
    <row r="113" spans="1:11" s="12" customFormat="1" ht="29.4" thickBot="1" x14ac:dyDescent="0.35">
      <c r="A113" s="434" t="s">
        <v>4465</v>
      </c>
      <c r="B113" s="457" t="str">
        <f t="shared" si="5"/>
        <v>· Comunicazione di qualsiasi altra informativa sulla governance e/o specifica per soggetto</v>
      </c>
      <c r="C113" s="434" t="s">
        <v>3705</v>
      </c>
      <c r="D113" s="478" t="s">
        <v>8126</v>
      </c>
      <c r="E113" s="478" t="s">
        <v>8971</v>
      </c>
      <c r="F113" s="472" t="s">
        <v>7655</v>
      </c>
      <c r="G113" s="12" t="s">
        <v>9165</v>
      </c>
      <c r="H113" s="424" t="s">
        <v>6867</v>
      </c>
      <c r="I113" s="424" t="s">
        <v>9026</v>
      </c>
      <c r="J113" s="424" t="s">
        <v>9039</v>
      </c>
      <c r="K113" s="476" t="s">
        <v>6502</v>
      </c>
    </row>
    <row r="114" spans="1:11" x14ac:dyDescent="0.3">
      <c r="A114" t="s">
        <v>4077</v>
      </c>
      <c r="B114" s="423" t="str">
        <f t="shared" si="5"/>
        <v>Riferimento al paragrafo</v>
      </c>
      <c r="C114" t="s">
        <v>3729</v>
      </c>
      <c r="D114" s="470" t="s">
        <v>8127</v>
      </c>
      <c r="E114" s="470" t="s">
        <v>8591</v>
      </c>
      <c r="F114" s="471" t="s">
        <v>7656</v>
      </c>
      <c r="G114" t="s">
        <v>9166</v>
      </c>
      <c r="H114" s="89" t="s">
        <v>5998</v>
      </c>
      <c r="I114" s="89" t="s">
        <v>6189</v>
      </c>
      <c r="J114" s="89" t="s">
        <v>7231</v>
      </c>
      <c r="K114" s="456" t="s">
        <v>6567</v>
      </c>
    </row>
    <row r="115" spans="1:11" x14ac:dyDescent="0.3">
      <c r="A115" t="s">
        <v>4078</v>
      </c>
      <c r="B115" s="423" t="str">
        <f t="shared" si="5"/>
        <v xml:space="preserve">Riferimento al paragrafo degli orientamenti
</v>
      </c>
      <c r="C115" t="s">
        <v>3728</v>
      </c>
      <c r="D115" s="470" t="s">
        <v>8128</v>
      </c>
      <c r="E115" s="470" t="s">
        <v>8592</v>
      </c>
      <c r="F115" s="471" t="s">
        <v>7657</v>
      </c>
      <c r="G115" t="s">
        <v>9167</v>
      </c>
      <c r="H115" s="89" t="s">
        <v>6868</v>
      </c>
      <c r="I115" s="89" t="s">
        <v>6190</v>
      </c>
      <c r="J115" s="89" t="s">
        <v>7232</v>
      </c>
      <c r="K115" s="456" t="s">
        <v>6478</v>
      </c>
    </row>
    <row r="116" spans="1:11" x14ac:dyDescent="0.3">
      <c r="A116" t="s">
        <v>4367</v>
      </c>
      <c r="B116" s="423" t="str">
        <f t="shared" si="5"/>
        <v>da</v>
      </c>
      <c r="C116" t="s">
        <v>4370</v>
      </c>
      <c r="D116" s="470" t="s">
        <v>8129</v>
      </c>
      <c r="E116" s="470" t="s">
        <v>8593</v>
      </c>
      <c r="F116" s="471" t="s">
        <v>7658</v>
      </c>
      <c r="G116" t="s">
        <v>8947</v>
      </c>
      <c r="H116" s="89" t="s">
        <v>6051</v>
      </c>
      <c r="I116" s="89" t="s">
        <v>5818</v>
      </c>
      <c r="J116" s="89" t="s">
        <v>4625</v>
      </c>
      <c r="K116" s="456" t="s">
        <v>4625</v>
      </c>
    </row>
    <row r="117" spans="1:11" x14ac:dyDescent="0.3">
      <c r="A117" t="s">
        <v>4368</v>
      </c>
      <c r="B117" s="423" t="str">
        <f t="shared" si="5"/>
        <v>a</v>
      </c>
      <c r="C117" t="s">
        <v>2930</v>
      </c>
      <c r="D117" s="470" t="s">
        <v>8130</v>
      </c>
      <c r="E117" s="470" t="s">
        <v>8594</v>
      </c>
      <c r="F117" s="471" t="s">
        <v>7659</v>
      </c>
      <c r="G117" t="s">
        <v>5694</v>
      </c>
      <c r="H117" s="89" t="s">
        <v>5999</v>
      </c>
      <c r="I117" s="89" t="s">
        <v>5687</v>
      </c>
      <c r="J117" s="89" t="s">
        <v>7233</v>
      </c>
      <c r="K117" s="456" t="s">
        <v>5694</v>
      </c>
    </row>
    <row r="118" spans="1:11" s="12" customFormat="1" ht="43.8" thickBot="1" x14ac:dyDescent="0.35">
      <c r="A118" s="12" t="s">
        <v>4369</v>
      </c>
      <c r="B118" s="457" t="str">
        <f t="shared" si="5"/>
        <v>a</v>
      </c>
      <c r="C118" s="12" t="s">
        <v>4371</v>
      </c>
      <c r="D118" s="478" t="s">
        <v>8131</v>
      </c>
      <c r="E118" s="478" t="s">
        <v>8595</v>
      </c>
      <c r="F118" s="472" t="s">
        <v>7660</v>
      </c>
      <c r="G118" s="12" t="s">
        <v>5694</v>
      </c>
      <c r="H118" s="424" t="s">
        <v>6869</v>
      </c>
      <c r="I118" s="424" t="s">
        <v>6191</v>
      </c>
      <c r="J118" s="424" t="s">
        <v>5838</v>
      </c>
      <c r="K118" s="476" t="s">
        <v>3949</v>
      </c>
    </row>
    <row r="119" spans="1:11" ht="43.2" x14ac:dyDescent="0.3">
      <c r="A119" t="s">
        <v>4079</v>
      </c>
      <c r="B119" s="423" t="str">
        <f t="shared" si="5"/>
        <v>[Sempre da riportare]</v>
      </c>
      <c r="C119" t="s">
        <v>3991</v>
      </c>
      <c r="D119" s="470" t="s">
        <v>8132</v>
      </c>
      <c r="E119" s="470" t="s">
        <v>8596</v>
      </c>
      <c r="F119" s="471" t="s">
        <v>7661</v>
      </c>
      <c r="G119" t="s">
        <v>9168</v>
      </c>
      <c r="H119" s="89" t="s">
        <v>6870</v>
      </c>
      <c r="I119" s="89" t="s">
        <v>5920</v>
      </c>
      <c r="J119" s="89" t="s">
        <v>7234</v>
      </c>
      <c r="K119" s="456" t="s">
        <v>6479</v>
      </c>
    </row>
    <row r="120" spans="1:11" x14ac:dyDescent="0.3">
      <c r="A120" t="s">
        <v>4080</v>
      </c>
      <c r="B120" s="423" t="str">
        <f t="shared" si="5"/>
        <v>[Se applicabile]</v>
      </c>
      <c r="C120" t="s">
        <v>3995</v>
      </c>
      <c r="D120" s="470" t="s">
        <v>8133</v>
      </c>
      <c r="E120" s="470" t="s">
        <v>8597</v>
      </c>
      <c r="F120" s="471" t="s">
        <v>7662</v>
      </c>
      <c r="G120" t="s">
        <v>9169</v>
      </c>
      <c r="H120" s="89" t="s">
        <v>6871</v>
      </c>
      <c r="I120" s="89" t="s">
        <v>6192</v>
      </c>
      <c r="J120" s="89" t="s">
        <v>5839</v>
      </c>
      <c r="K120" s="456" t="s">
        <v>6568</v>
      </c>
    </row>
    <row r="121" spans="1:11" x14ac:dyDescent="0.3">
      <c r="A121" t="s">
        <v>4081</v>
      </c>
      <c r="B121" s="423" t="str">
        <f t="shared" si="5"/>
        <v>[Facoltà (facoltativo)]</v>
      </c>
      <c r="C121" t="s">
        <v>3996</v>
      </c>
      <c r="D121" s="470" t="s">
        <v>8134</v>
      </c>
      <c r="E121" s="470" t="s">
        <v>8598</v>
      </c>
      <c r="F121" s="471" t="s">
        <v>7663</v>
      </c>
      <c r="G121" t="s">
        <v>9170</v>
      </c>
      <c r="H121" s="89" t="s">
        <v>6872</v>
      </c>
      <c r="I121" s="89" t="s">
        <v>5921</v>
      </c>
      <c r="J121" s="89" t="s">
        <v>7235</v>
      </c>
      <c r="K121" s="456" t="s">
        <v>6480</v>
      </c>
    </row>
    <row r="122" spans="1:11" x14ac:dyDescent="0.3">
      <c r="A122" t="s">
        <v>4377</v>
      </c>
      <c r="B122" s="423" t="str">
        <f t="shared" si="5"/>
        <v>Facoltà (facoltativo)</v>
      </c>
      <c r="C122" t="s">
        <v>4376</v>
      </c>
      <c r="D122" s="470" t="s">
        <v>8135</v>
      </c>
      <c r="E122" s="470" t="s">
        <v>8599</v>
      </c>
      <c r="F122" s="471" t="s">
        <v>7664</v>
      </c>
      <c r="G122" t="s">
        <v>9171</v>
      </c>
      <c r="H122" s="89" t="s">
        <v>6873</v>
      </c>
      <c r="I122" s="89" t="s">
        <v>5922</v>
      </c>
      <c r="J122" s="89" t="s">
        <v>7235</v>
      </c>
      <c r="K122" s="456" t="s">
        <v>6481</v>
      </c>
    </row>
    <row r="123" spans="1:11" x14ac:dyDescent="0.3">
      <c r="A123" t="s">
        <v>4082</v>
      </c>
      <c r="B123" s="423" t="str">
        <f t="shared" si="5"/>
        <v>[Sempre da riportare + se applicabile]</v>
      </c>
      <c r="C123" t="s">
        <v>3998</v>
      </c>
      <c r="D123" s="470" t="s">
        <v>8136</v>
      </c>
      <c r="E123" s="470" t="s">
        <v>8600</v>
      </c>
      <c r="F123" s="471" t="s">
        <v>7665</v>
      </c>
      <c r="G123" t="s">
        <v>9172</v>
      </c>
      <c r="H123" s="89" t="s">
        <v>6874</v>
      </c>
      <c r="I123" s="89" t="s">
        <v>6193</v>
      </c>
      <c r="J123" s="89" t="s">
        <v>7236</v>
      </c>
      <c r="K123" s="456" t="s">
        <v>6569</v>
      </c>
    </row>
    <row r="124" spans="1:11" x14ac:dyDescent="0.3">
      <c r="A124" t="s">
        <v>4365</v>
      </c>
      <c r="B124" s="423" t="str">
        <f t="shared" si="5"/>
        <v>[Se applicabile collegato a B2]</v>
      </c>
      <c r="C124" t="s">
        <v>4364</v>
      </c>
      <c r="D124" s="470" t="s">
        <v>8137</v>
      </c>
      <c r="E124" s="470" t="s">
        <v>8601</v>
      </c>
      <c r="F124" s="471" t="s">
        <v>7666</v>
      </c>
      <c r="G124" t="s">
        <v>9173</v>
      </c>
      <c r="H124" s="89" t="s">
        <v>6875</v>
      </c>
      <c r="I124" s="89" t="s">
        <v>6194</v>
      </c>
      <c r="J124" s="89" t="s">
        <v>7237</v>
      </c>
      <c r="K124" s="456" t="s">
        <v>5724</v>
      </c>
    </row>
    <row r="125" spans="1:11" s="12" customFormat="1" ht="58.2" thickBot="1" x14ac:dyDescent="0.35">
      <c r="A125" s="12" t="s">
        <v>4506</v>
      </c>
      <c r="B125" s="457" t="str">
        <f t="shared" si="5"/>
        <v>importo in</v>
      </c>
      <c r="C125" s="12" t="s">
        <v>4507</v>
      </c>
      <c r="D125" s="478" t="s">
        <v>8138</v>
      </c>
      <c r="E125" s="478" t="s">
        <v>8602</v>
      </c>
      <c r="F125" s="472" t="s">
        <v>7667</v>
      </c>
      <c r="G125" s="12" t="s">
        <v>9174</v>
      </c>
      <c r="H125" s="424" t="s">
        <v>6876</v>
      </c>
      <c r="I125" s="424" t="s">
        <v>5923</v>
      </c>
      <c r="J125" s="424" t="s">
        <v>7238</v>
      </c>
      <c r="K125" s="476" t="s">
        <v>6570</v>
      </c>
    </row>
    <row r="126" spans="1:11" x14ac:dyDescent="0.3">
      <c r="A126" t="s">
        <v>4083</v>
      </c>
      <c r="B126" s="423" t="str">
        <f t="shared" si="5"/>
        <v>Informazioni sulla relazione necessarie per XBRL</v>
      </c>
      <c r="C126" t="s">
        <v>3990</v>
      </c>
      <c r="D126" s="470" t="s">
        <v>8139</v>
      </c>
      <c r="E126" s="470" t="s">
        <v>8603</v>
      </c>
      <c r="F126" s="471" t="s">
        <v>7668</v>
      </c>
      <c r="G126" t="s">
        <v>9175</v>
      </c>
      <c r="H126" s="89" t="s">
        <v>6877</v>
      </c>
      <c r="I126" s="89" t="s">
        <v>6195</v>
      </c>
      <c r="J126" s="89" t="s">
        <v>7202</v>
      </c>
      <c r="K126" s="456" t="s">
        <v>6571</v>
      </c>
    </row>
    <row r="127" spans="1:11" ht="28.8" x14ac:dyDescent="0.3">
      <c r="A127" t="s">
        <v>4084</v>
      </c>
      <c r="B127" s="423" t="str">
        <f t="shared" si="5"/>
        <v>Nome dell'impresa che redige la relazione</v>
      </c>
      <c r="C127" t="s">
        <v>0</v>
      </c>
      <c r="D127" s="470" t="s">
        <v>8140</v>
      </c>
      <c r="E127" s="470" t="s">
        <v>8604</v>
      </c>
      <c r="F127" s="471" t="s">
        <v>7669</v>
      </c>
      <c r="G127" t="s">
        <v>9176</v>
      </c>
      <c r="H127" s="89" t="s">
        <v>6878</v>
      </c>
      <c r="I127" s="89" t="s">
        <v>6196</v>
      </c>
      <c r="J127" s="89" t="s">
        <v>7239</v>
      </c>
      <c r="K127" s="456" t="s">
        <v>5725</v>
      </c>
    </row>
    <row r="128" spans="1:11" ht="28.8" x14ac:dyDescent="0.3">
      <c r="A128" t="s">
        <v>4085</v>
      </c>
      <c r="B128" s="423" t="str">
        <f t="shared" si="5"/>
        <v>Identificatore dell'impresa che redige la relazione (selezionare e specificare a destra)</v>
      </c>
      <c r="C128" t="s">
        <v>3684</v>
      </c>
      <c r="D128" s="470" t="s">
        <v>8141</v>
      </c>
      <c r="E128" s="470" t="s">
        <v>8605</v>
      </c>
      <c r="F128" s="471" t="s">
        <v>7670</v>
      </c>
      <c r="G128" t="s">
        <v>9177</v>
      </c>
      <c r="H128" s="89" t="s">
        <v>6879</v>
      </c>
      <c r="I128" s="89" t="s">
        <v>6197</v>
      </c>
      <c r="J128" s="89" t="s">
        <v>7240</v>
      </c>
      <c r="K128" s="456" t="s">
        <v>6572</v>
      </c>
    </row>
    <row r="129" spans="1:11" x14ac:dyDescent="0.3">
      <c r="A129" t="s">
        <v>4086</v>
      </c>
      <c r="B129" s="423" t="str">
        <f t="shared" si="5"/>
        <v>Valuta dei valori monetari nella relazione</v>
      </c>
      <c r="C129" t="s">
        <v>3950</v>
      </c>
      <c r="D129" s="470" t="s">
        <v>8142</v>
      </c>
      <c r="E129" s="470" t="s">
        <v>8606</v>
      </c>
      <c r="F129" s="471" t="s">
        <v>7671</v>
      </c>
      <c r="G129" t="s">
        <v>9178</v>
      </c>
      <c r="H129" s="89" t="s">
        <v>6880</v>
      </c>
      <c r="I129" s="89" t="s">
        <v>6198</v>
      </c>
      <c r="J129" s="89" t="s">
        <v>7241</v>
      </c>
      <c r="K129" s="456" t="s">
        <v>6482</v>
      </c>
    </row>
    <row r="130" spans="1:11" x14ac:dyDescent="0.3">
      <c r="A130" t="s">
        <v>4087</v>
      </c>
      <c r="B130" s="423" t="str">
        <f t="shared" si="5"/>
        <v>Anno di inizio</v>
      </c>
      <c r="C130" t="s">
        <v>3055</v>
      </c>
      <c r="D130" s="470" t="s">
        <v>8143</v>
      </c>
      <c r="E130" s="470" t="s">
        <v>8607</v>
      </c>
      <c r="F130" s="471" t="s">
        <v>7672</v>
      </c>
      <c r="G130" t="s">
        <v>9179</v>
      </c>
      <c r="H130" s="89" t="s">
        <v>6881</v>
      </c>
      <c r="I130" s="89" t="s">
        <v>5924</v>
      </c>
      <c r="J130" s="89" t="s">
        <v>7242</v>
      </c>
      <c r="K130" s="456" t="s">
        <v>5726</v>
      </c>
    </row>
    <row r="131" spans="1:11" x14ac:dyDescent="0.3">
      <c r="A131" t="s">
        <v>4088</v>
      </c>
      <c r="B131" s="423" t="str">
        <f t="shared" si="5"/>
        <v>Mese di inizio</v>
      </c>
      <c r="C131" t="s">
        <v>3056</v>
      </c>
      <c r="D131" s="470" t="s">
        <v>8144</v>
      </c>
      <c r="E131" s="470" t="s">
        <v>8608</v>
      </c>
      <c r="F131" s="471" t="s">
        <v>7673</v>
      </c>
      <c r="G131" t="s">
        <v>9180</v>
      </c>
      <c r="H131" s="89" t="s">
        <v>6882</v>
      </c>
      <c r="I131" s="89" t="s">
        <v>6199</v>
      </c>
      <c r="J131" s="89" t="s">
        <v>7243</v>
      </c>
      <c r="K131" s="456" t="s">
        <v>5727</v>
      </c>
    </row>
    <row r="132" spans="1:11" x14ac:dyDescent="0.3">
      <c r="A132" t="s">
        <v>4089</v>
      </c>
      <c r="B132" s="423" t="str">
        <f t="shared" ref="B132:B195" si="6">INDEX(C132:K132,MATCH(template_selected_display_language,$C$3:$K$3,0))</f>
        <v>Giorno di inizio</v>
      </c>
      <c r="C132" t="s">
        <v>3057</v>
      </c>
      <c r="D132" s="470" t="s">
        <v>8145</v>
      </c>
      <c r="E132" s="470" t="s">
        <v>8609</v>
      </c>
      <c r="F132" s="471" t="s">
        <v>7674</v>
      </c>
      <c r="G132" t="s">
        <v>9181</v>
      </c>
      <c r="H132" s="89" t="s">
        <v>6883</v>
      </c>
      <c r="I132" s="89" t="s">
        <v>6200</v>
      </c>
      <c r="J132" s="89" t="s">
        <v>5840</v>
      </c>
      <c r="K132" s="456" t="s">
        <v>5728</v>
      </c>
    </row>
    <row r="133" spans="1:11" x14ac:dyDescent="0.3">
      <c r="A133" t="s">
        <v>4090</v>
      </c>
      <c r="B133" s="423" t="str">
        <f t="shared" si="6"/>
        <v>Data di inizio del periodo di riferimento (gg-mm-aaaa)</v>
      </c>
      <c r="C133" t="s">
        <v>4061</v>
      </c>
      <c r="D133" s="470" t="s">
        <v>8146</v>
      </c>
      <c r="E133" s="470" t="s">
        <v>8610</v>
      </c>
      <c r="F133" s="471" t="s">
        <v>7675</v>
      </c>
      <c r="G133" t="s">
        <v>9182</v>
      </c>
      <c r="H133" s="89" t="s">
        <v>6884</v>
      </c>
      <c r="I133" s="89" t="s">
        <v>5925</v>
      </c>
      <c r="J133" s="89" t="s">
        <v>5841</v>
      </c>
      <c r="K133" s="456" t="s">
        <v>6573</v>
      </c>
    </row>
    <row r="134" spans="1:11" ht="28.8" x14ac:dyDescent="0.3">
      <c r="A134" t="s">
        <v>4091</v>
      </c>
      <c r="B134" s="423" t="str">
        <f t="shared" si="6"/>
        <v>Anno di chiusura</v>
      </c>
      <c r="C134" t="s">
        <v>3058</v>
      </c>
      <c r="D134" s="470" t="s">
        <v>8147</v>
      </c>
      <c r="E134" s="470" t="s">
        <v>8611</v>
      </c>
      <c r="F134" s="471" t="s">
        <v>7676</v>
      </c>
      <c r="G134" t="s">
        <v>9183</v>
      </c>
      <c r="H134" s="89" t="s">
        <v>6885</v>
      </c>
      <c r="I134" s="89" t="s">
        <v>6201</v>
      </c>
      <c r="J134" s="89" t="s">
        <v>7244</v>
      </c>
      <c r="K134" s="456" t="s">
        <v>5729</v>
      </c>
    </row>
    <row r="135" spans="1:11" ht="28.8" x14ac:dyDescent="0.3">
      <c r="A135" t="s">
        <v>4092</v>
      </c>
      <c r="B135" s="423" t="str">
        <f t="shared" si="6"/>
        <v>Mese di chiusura</v>
      </c>
      <c r="C135" t="s">
        <v>3059</v>
      </c>
      <c r="D135" s="470" t="s">
        <v>8148</v>
      </c>
      <c r="E135" s="470" t="s">
        <v>8612</v>
      </c>
      <c r="F135" s="471" t="s">
        <v>7677</v>
      </c>
      <c r="G135" t="s">
        <v>9184</v>
      </c>
      <c r="H135" s="89" t="s">
        <v>6886</v>
      </c>
      <c r="I135" s="89" t="s">
        <v>6202</v>
      </c>
      <c r="J135" s="89" t="s">
        <v>5842</v>
      </c>
      <c r="K135" s="456" t="s">
        <v>5730</v>
      </c>
    </row>
    <row r="136" spans="1:11" x14ac:dyDescent="0.3">
      <c r="A136" t="s">
        <v>4093</v>
      </c>
      <c r="B136" s="423" t="str">
        <f t="shared" si="6"/>
        <v>Giorno di chiusura</v>
      </c>
      <c r="C136" t="s">
        <v>3060</v>
      </c>
      <c r="D136" s="470" t="s">
        <v>8149</v>
      </c>
      <c r="E136" s="470" t="s">
        <v>8613</v>
      </c>
      <c r="F136" s="471" t="s">
        <v>7678</v>
      </c>
      <c r="G136" t="s">
        <v>9185</v>
      </c>
      <c r="H136" s="89" t="s">
        <v>6887</v>
      </c>
      <c r="I136" s="89" t="s">
        <v>6203</v>
      </c>
      <c r="J136" s="89" t="s">
        <v>5843</v>
      </c>
      <c r="K136" s="456" t="s">
        <v>6574</v>
      </c>
    </row>
    <row r="137" spans="1:11" s="12" customFormat="1" ht="15" thickBot="1" x14ac:dyDescent="0.35">
      <c r="A137" s="12" t="s">
        <v>4094</v>
      </c>
      <c r="B137" s="457" t="str">
        <f t="shared" si="6"/>
        <v>Data di chiusura del periodo di riferimento (gg-mm-aaaa)</v>
      </c>
      <c r="C137" s="12" t="s">
        <v>4062</v>
      </c>
      <c r="D137" s="478" t="s">
        <v>8150</v>
      </c>
      <c r="E137" s="478" t="s">
        <v>8614</v>
      </c>
      <c r="F137" s="472" t="s">
        <v>7679</v>
      </c>
      <c r="G137" s="12" t="s">
        <v>9186</v>
      </c>
      <c r="H137" s="424" t="s">
        <v>6888</v>
      </c>
      <c r="I137" s="424" t="s">
        <v>5926</v>
      </c>
      <c r="J137" s="424" t="s">
        <v>7245</v>
      </c>
      <c r="K137" s="476" t="s">
        <v>6575</v>
      </c>
    </row>
    <row r="138" spans="1:11" x14ac:dyDescent="0.3">
      <c r="A138" t="s">
        <v>4072</v>
      </c>
      <c r="B138" s="423" t="str">
        <f t="shared" si="6"/>
        <v>Informazioni sul periodo di riferimento precedente</v>
      </c>
      <c r="C138" t="s">
        <v>2921</v>
      </c>
      <c r="D138" s="470" t="s">
        <v>8151</v>
      </c>
      <c r="E138" s="470" t="s">
        <v>8615</v>
      </c>
      <c r="F138" s="471" t="s">
        <v>7680</v>
      </c>
      <c r="G138" t="s">
        <v>9187</v>
      </c>
      <c r="H138" s="89" t="s">
        <v>6052</v>
      </c>
      <c r="I138" s="89" t="s">
        <v>6204</v>
      </c>
      <c r="J138" s="89" t="s">
        <v>7246</v>
      </c>
      <c r="K138" s="456" t="s">
        <v>6544</v>
      </c>
    </row>
    <row r="139" spans="1:11" ht="43.2" x14ac:dyDescent="0.3">
      <c r="A139" t="s">
        <v>4073</v>
      </c>
      <c r="B139" s="423" t="str">
        <f t="shared" si="6"/>
        <v>Questa relazione contiene informative del periodo di riferimento precedente che rimangono invariate.</v>
      </c>
      <c r="C139" t="s">
        <v>2</v>
      </c>
      <c r="D139" s="470" t="s">
        <v>8152</v>
      </c>
      <c r="E139" s="470" t="s">
        <v>8616</v>
      </c>
      <c r="F139" s="471" t="s">
        <v>7681</v>
      </c>
      <c r="G139" t="s">
        <v>9188</v>
      </c>
      <c r="H139" s="89" t="s">
        <v>6889</v>
      </c>
      <c r="I139" s="89" t="s">
        <v>6205</v>
      </c>
      <c r="J139" s="89" t="s">
        <v>7247</v>
      </c>
      <c r="K139" s="456" t="s">
        <v>6576</v>
      </c>
    </row>
    <row r="140" spans="1:11" ht="28.8" x14ac:dyDescent="0.3">
      <c r="A140" t="s">
        <v>4074</v>
      </c>
      <c r="B140" s="423" t="str">
        <f t="shared" si="6"/>
        <v>Elenco delle informative per le quali non sono riportate variazioni rispetto al periodo di riferimento precedente</v>
      </c>
      <c r="C140" t="s">
        <v>3951</v>
      </c>
      <c r="D140" s="470" t="s">
        <v>8153</v>
      </c>
      <c r="E140" s="470" t="s">
        <v>8617</v>
      </c>
      <c r="F140" s="471" t="s">
        <v>7682</v>
      </c>
      <c r="G140" t="s">
        <v>9189</v>
      </c>
      <c r="H140" s="89" t="s">
        <v>6890</v>
      </c>
      <c r="I140" s="89" t="s">
        <v>6206</v>
      </c>
      <c r="J140" s="89" t="s">
        <v>7248</v>
      </c>
      <c r="K140" s="456" t="s">
        <v>6577</v>
      </c>
    </row>
    <row r="141" spans="1:11" s="12" customFormat="1" ht="29.4" thickBot="1" x14ac:dyDescent="0.35">
      <c r="A141" s="12" t="s">
        <v>4075</v>
      </c>
      <c r="B141" s="457" t="str">
        <f t="shared" si="6"/>
        <v>Collegamento alla relazione precedente contenente le informative che rimangono invariate</v>
      </c>
      <c r="C141" s="12" t="s">
        <v>2900</v>
      </c>
      <c r="D141" s="478" t="s">
        <v>8154</v>
      </c>
      <c r="E141" s="478" t="s">
        <v>8618</v>
      </c>
      <c r="F141" s="472" t="s">
        <v>7683</v>
      </c>
      <c r="G141" s="12" t="s">
        <v>9190</v>
      </c>
      <c r="H141" s="424" t="s">
        <v>6891</v>
      </c>
      <c r="I141" s="424" t="s">
        <v>6207</v>
      </c>
      <c r="J141" s="424" t="s">
        <v>7249</v>
      </c>
      <c r="K141" s="476" t="s">
        <v>5731</v>
      </c>
    </row>
    <row r="142" spans="1:11" ht="28.8" x14ac:dyDescent="0.3">
      <c r="A142" t="s">
        <v>4076</v>
      </c>
      <c r="B142" s="423" t="str">
        <f t="shared" si="6"/>
        <v>B1 - Criteri per la redazione e informazioni generali dell'impresa</v>
      </c>
      <c r="C142" t="s">
        <v>3952</v>
      </c>
      <c r="D142" s="470" t="s">
        <v>8155</v>
      </c>
      <c r="E142" s="470" t="s">
        <v>8619</v>
      </c>
      <c r="F142" s="471" t="s">
        <v>7684</v>
      </c>
      <c r="G142" t="s">
        <v>9191</v>
      </c>
      <c r="H142" s="89" t="s">
        <v>6892</v>
      </c>
      <c r="I142" s="89" t="s">
        <v>6208</v>
      </c>
      <c r="J142" s="89" t="s">
        <v>7278</v>
      </c>
      <c r="K142" s="456" t="s">
        <v>6578</v>
      </c>
    </row>
    <row r="143" spans="1:11" ht="28.8" x14ac:dyDescent="0.3">
      <c r="A143" t="s">
        <v>4095</v>
      </c>
      <c r="B143" s="423" t="str">
        <f t="shared" si="6"/>
        <v>Criteri per la redazione (Solo Modulo Base o Modulo Base &amp; Modulo Onnicomprensivo)</v>
      </c>
      <c r="C143" t="s">
        <v>3046</v>
      </c>
      <c r="D143" s="470" t="s">
        <v>8156</v>
      </c>
      <c r="E143" s="470" t="s">
        <v>8620</v>
      </c>
      <c r="F143" s="471" t="s">
        <v>7685</v>
      </c>
      <c r="G143" t="s">
        <v>9192</v>
      </c>
      <c r="H143" s="89" t="s">
        <v>6893</v>
      </c>
      <c r="I143" s="89" t="s">
        <v>6209</v>
      </c>
      <c r="J143" s="89" t="s">
        <v>7250</v>
      </c>
      <c r="K143" s="456" t="s">
        <v>6579</v>
      </c>
    </row>
    <row r="144" spans="1:11" ht="28.8" x14ac:dyDescent="0.3">
      <c r="A144" t="s">
        <v>4096</v>
      </c>
      <c r="B144" s="423" t="str">
        <f t="shared" si="6"/>
        <v>Elenco delle informative omesse considerate come informazioni classificate o sensibili</v>
      </c>
      <c r="C144" t="s">
        <v>3953</v>
      </c>
      <c r="D144" s="470" t="s">
        <v>8157</v>
      </c>
      <c r="E144" s="470" t="s">
        <v>8621</v>
      </c>
      <c r="F144" s="471" t="s">
        <v>7686</v>
      </c>
      <c r="G144" t="s">
        <v>9193</v>
      </c>
      <c r="H144" s="89" t="s">
        <v>6894</v>
      </c>
      <c r="I144" s="89" t="s">
        <v>6210</v>
      </c>
      <c r="J144" s="89" t="s">
        <v>7251</v>
      </c>
      <c r="K144" s="456" t="s">
        <v>6580</v>
      </c>
    </row>
    <row r="145" spans="1:11" ht="28.8" x14ac:dyDescent="0.3">
      <c r="A145" t="s">
        <v>4097</v>
      </c>
      <c r="B145" s="423" t="str">
        <f t="shared" si="6"/>
        <v>Base per la rendicontazione (su base consolidata o individuale)</v>
      </c>
      <c r="C145" t="s">
        <v>3093</v>
      </c>
      <c r="D145" s="470" t="s">
        <v>8158</v>
      </c>
      <c r="E145" s="470" t="s">
        <v>8622</v>
      </c>
      <c r="F145" s="471" t="s">
        <v>7687</v>
      </c>
      <c r="G145" t="s">
        <v>9194</v>
      </c>
      <c r="H145" s="89" t="s">
        <v>6895</v>
      </c>
      <c r="I145" s="89" t="s">
        <v>6211</v>
      </c>
      <c r="J145" s="89" t="s">
        <v>7252</v>
      </c>
      <c r="K145" s="456" t="s">
        <v>5732</v>
      </c>
    </row>
    <row r="146" spans="1:11" x14ac:dyDescent="0.3">
      <c r="A146" t="s">
        <v>4098</v>
      </c>
      <c r="B146" s="423" t="str">
        <f t="shared" si="6"/>
        <v>Forma giuridica dell'impresa</v>
      </c>
      <c r="C146" t="s">
        <v>3</v>
      </c>
      <c r="D146" s="470" t="s">
        <v>8159</v>
      </c>
      <c r="E146" s="470" t="s">
        <v>8623</v>
      </c>
      <c r="F146" s="471" t="s">
        <v>7688</v>
      </c>
      <c r="G146" t="s">
        <v>9195</v>
      </c>
      <c r="H146" s="89" t="s">
        <v>6896</v>
      </c>
      <c r="I146" s="89" t="s">
        <v>6212</v>
      </c>
      <c r="J146" s="89" t="s">
        <v>7253</v>
      </c>
      <c r="K146" s="456" t="s">
        <v>6581</v>
      </c>
    </row>
    <row r="147" spans="1:11" x14ac:dyDescent="0.3">
      <c r="A147" t="s">
        <v>4099</v>
      </c>
      <c r="B147" s="423" t="str">
        <f t="shared" si="6"/>
        <v>Dettagli sulla forma giuridica dell'impresa "altro"</v>
      </c>
      <c r="C147" t="s">
        <v>3049</v>
      </c>
      <c r="D147" s="470" t="s">
        <v>8160</v>
      </c>
      <c r="E147" s="470" t="s">
        <v>8624</v>
      </c>
      <c r="F147" s="471" t="s">
        <v>7689</v>
      </c>
      <c r="G147" t="s">
        <v>9196</v>
      </c>
      <c r="H147" s="89" t="s">
        <v>6000</v>
      </c>
      <c r="I147" s="89" t="s">
        <v>6213</v>
      </c>
      <c r="J147" s="89" t="s">
        <v>7254</v>
      </c>
      <c r="K147" s="456" t="s">
        <v>5733</v>
      </c>
    </row>
    <row r="148" spans="1:11" x14ac:dyDescent="0.3">
      <c r="A148" t="s">
        <v>4100</v>
      </c>
      <c r="B148" s="423" t="str">
        <f t="shared" si="6"/>
        <v>Codice(i) di classificazione settoriale NACE</v>
      </c>
      <c r="C148" t="s">
        <v>2758</v>
      </c>
      <c r="D148" s="470" t="s">
        <v>8161</v>
      </c>
      <c r="E148" s="479" t="s">
        <v>8625</v>
      </c>
      <c r="F148" s="471" t="s">
        <v>7690</v>
      </c>
      <c r="G148" t="s">
        <v>9197</v>
      </c>
      <c r="H148" s="89" t="s">
        <v>6897</v>
      </c>
      <c r="I148" s="89" t="s">
        <v>6214</v>
      </c>
      <c r="J148" s="89" t="s">
        <v>7255</v>
      </c>
      <c r="K148" s="456" t="s">
        <v>6582</v>
      </c>
    </row>
    <row r="149" spans="1:11" x14ac:dyDescent="0.3">
      <c r="A149" t="s">
        <v>4101</v>
      </c>
      <c r="B149" s="423" t="str">
        <f t="shared" si="6"/>
        <v>Entità dello stato patrimoniale (totale degli attivi)</v>
      </c>
      <c r="C149" t="s">
        <v>5669</v>
      </c>
      <c r="D149" s="470" t="s">
        <v>8162</v>
      </c>
      <c r="E149" s="479" t="s">
        <v>8626</v>
      </c>
      <c r="F149" s="471" t="s">
        <v>7691</v>
      </c>
      <c r="G149" t="s">
        <v>9198</v>
      </c>
      <c r="H149" s="89" t="s">
        <v>6898</v>
      </c>
      <c r="I149" s="89" t="s">
        <v>6215</v>
      </c>
      <c r="J149" s="89" t="s">
        <v>7256</v>
      </c>
      <c r="K149" s="456" t="s">
        <v>6583</v>
      </c>
    </row>
    <row r="150" spans="1:11" x14ac:dyDescent="0.3">
      <c r="A150" t="s">
        <v>4102</v>
      </c>
      <c r="B150" s="423" t="str">
        <f t="shared" si="6"/>
        <v>Ricavi delle vendite e delle prestazioni</v>
      </c>
      <c r="C150" t="s">
        <v>3954</v>
      </c>
      <c r="D150" s="470" t="s">
        <v>8163</v>
      </c>
      <c r="E150" s="470" t="s">
        <v>8627</v>
      </c>
      <c r="F150" s="471" t="s">
        <v>7692</v>
      </c>
      <c r="G150" t="s">
        <v>9199</v>
      </c>
      <c r="H150" s="89" t="s">
        <v>6899</v>
      </c>
      <c r="I150" s="89" t="s">
        <v>6216</v>
      </c>
      <c r="J150" s="89" t="s">
        <v>5844</v>
      </c>
      <c r="K150" s="456" t="s">
        <v>5734</v>
      </c>
    </row>
    <row r="151" spans="1:11" x14ac:dyDescent="0.3">
      <c r="A151" t="s">
        <v>4103</v>
      </c>
      <c r="B151" s="423" t="str">
        <f t="shared" si="6"/>
        <v>Numero di dipendenti</v>
      </c>
      <c r="C151" t="s">
        <v>4</v>
      </c>
      <c r="D151" s="470" t="s">
        <v>8164</v>
      </c>
      <c r="E151" s="470" t="s">
        <v>8628</v>
      </c>
      <c r="F151" s="471" t="s">
        <v>7693</v>
      </c>
      <c r="G151" t="s">
        <v>9200</v>
      </c>
      <c r="H151" s="89" t="s">
        <v>6053</v>
      </c>
      <c r="I151" s="89" t="s">
        <v>6217</v>
      </c>
      <c r="J151" s="89" t="s">
        <v>7257</v>
      </c>
      <c r="K151" s="456" t="s">
        <v>6584</v>
      </c>
    </row>
    <row r="152" spans="1:11" ht="43.2" x14ac:dyDescent="0.3">
      <c r="A152" t="s">
        <v>4104</v>
      </c>
      <c r="B152" s="423" t="str">
        <f t="shared" si="6"/>
        <v>Metodologia di conteggio dei dipendenti (Alla fine del periodo di riferimento o come media durante il periodo di riferimento)</v>
      </c>
      <c r="C152" t="s">
        <v>3097</v>
      </c>
      <c r="D152" s="470" t="s">
        <v>8165</v>
      </c>
      <c r="E152" s="470" t="s">
        <v>8629</v>
      </c>
      <c r="F152" s="471" t="s">
        <v>7694</v>
      </c>
      <c r="G152" t="s">
        <v>9201</v>
      </c>
      <c r="H152" s="89" t="s">
        <v>6900</v>
      </c>
      <c r="I152" s="89" t="s">
        <v>6218</v>
      </c>
      <c r="J152" s="89" t="s">
        <v>7258</v>
      </c>
      <c r="K152" s="456" t="s">
        <v>6503</v>
      </c>
    </row>
    <row r="153" spans="1:11" ht="28.8" x14ac:dyDescent="0.3">
      <c r="A153" t="s">
        <v>4105</v>
      </c>
      <c r="B153" s="423" t="str">
        <f t="shared" si="6"/>
        <v>Metodologia di conteggio dei dipendenti (Effettivi o equivalenti a tempo pieno)</v>
      </c>
      <c r="C153" t="s">
        <v>3098</v>
      </c>
      <c r="D153" s="470" t="s">
        <v>8166</v>
      </c>
      <c r="E153" s="470" t="s">
        <v>8630</v>
      </c>
      <c r="F153" s="471" t="s">
        <v>7695</v>
      </c>
      <c r="G153" t="s">
        <v>9202</v>
      </c>
      <c r="H153" s="89" t="s">
        <v>6901</v>
      </c>
      <c r="I153" s="89" t="s">
        <v>6219</v>
      </c>
      <c r="J153" s="89" t="s">
        <v>7259</v>
      </c>
      <c r="K153" s="456" t="s">
        <v>6504</v>
      </c>
    </row>
    <row r="154" spans="1:11" s="12" customFormat="1" ht="29.4" thickBot="1" x14ac:dyDescent="0.35">
      <c r="A154" s="12" t="s">
        <v>4106</v>
      </c>
      <c r="B154" s="457" t="str">
        <f t="shared" si="6"/>
        <v>Paese delle operazioni primarie e ubicazione degli attivi significativi</v>
      </c>
      <c r="C154" s="12" t="s">
        <v>5</v>
      </c>
      <c r="D154" s="478" t="s">
        <v>8167</v>
      </c>
      <c r="E154" s="478" t="s">
        <v>8631</v>
      </c>
      <c r="F154" s="472" t="s">
        <v>7696</v>
      </c>
      <c r="G154" s="12" t="s">
        <v>9203</v>
      </c>
      <c r="H154" s="424" t="s">
        <v>6902</v>
      </c>
      <c r="I154" s="424" t="s">
        <v>6220</v>
      </c>
      <c r="J154" s="424" t="s">
        <v>7260</v>
      </c>
      <c r="K154" s="476" t="s">
        <v>6585</v>
      </c>
    </row>
    <row r="155" spans="1:11" x14ac:dyDescent="0.3">
      <c r="A155" t="s">
        <v>4107</v>
      </c>
      <c r="B155" s="423" t="str">
        <f t="shared" si="6"/>
        <v>B1 - Elenco delle imprese figlie</v>
      </c>
      <c r="C155" t="s">
        <v>4359</v>
      </c>
      <c r="D155" s="470" t="s">
        <v>8168</v>
      </c>
      <c r="E155" s="470" t="s">
        <v>8632</v>
      </c>
      <c r="F155" s="471" t="s">
        <v>7697</v>
      </c>
      <c r="G155" t="s">
        <v>9204</v>
      </c>
      <c r="H155" s="89" t="s">
        <v>6903</v>
      </c>
      <c r="I155" s="89" t="s">
        <v>6221</v>
      </c>
      <c r="J155" s="89" t="s">
        <v>5845</v>
      </c>
      <c r="K155" s="456" t="s">
        <v>5735</v>
      </c>
    </row>
    <row r="156" spans="1:11" x14ac:dyDescent="0.3">
      <c r="A156" t="s">
        <v>4108</v>
      </c>
      <c r="B156" s="423" t="str">
        <f t="shared" si="6"/>
        <v>ID</v>
      </c>
      <c r="C156" t="s">
        <v>6</v>
      </c>
      <c r="D156" s="470" t="s">
        <v>6</v>
      </c>
      <c r="E156" s="470" t="s">
        <v>6</v>
      </c>
      <c r="F156" s="471" t="s">
        <v>7698</v>
      </c>
      <c r="G156" t="s">
        <v>6</v>
      </c>
      <c r="H156" s="89" t="s">
        <v>6</v>
      </c>
      <c r="I156" s="89" t="s">
        <v>6</v>
      </c>
      <c r="J156" s="89" t="s">
        <v>6</v>
      </c>
      <c r="K156" s="456" t="s">
        <v>6</v>
      </c>
    </row>
    <row r="157" spans="1:11" x14ac:dyDescent="0.3">
      <c r="A157" t="s">
        <v>4109</v>
      </c>
      <c r="B157" s="423" t="str">
        <f t="shared" si="6"/>
        <v>Nome</v>
      </c>
      <c r="C157" t="s">
        <v>7</v>
      </c>
      <c r="D157" s="470" t="s">
        <v>8169</v>
      </c>
      <c r="E157" s="470" t="s">
        <v>8633</v>
      </c>
      <c r="F157" s="471" t="s">
        <v>7</v>
      </c>
      <c r="G157" t="s">
        <v>5695</v>
      </c>
      <c r="H157" s="89" t="s">
        <v>6904</v>
      </c>
      <c r="I157" s="89" t="s">
        <v>6068</v>
      </c>
      <c r="J157" s="89" t="s">
        <v>5695</v>
      </c>
      <c r="K157" s="456" t="s">
        <v>5736</v>
      </c>
    </row>
    <row r="158" spans="1:11" s="12" customFormat="1" ht="29.4" thickBot="1" x14ac:dyDescent="0.35">
      <c r="A158" s="12" t="s">
        <v>4110</v>
      </c>
      <c r="B158" s="457" t="str">
        <f t="shared" si="6"/>
        <v>Sede legale</v>
      </c>
      <c r="C158" s="12" t="s">
        <v>3018</v>
      </c>
      <c r="D158" s="478" t="s">
        <v>8170</v>
      </c>
      <c r="E158" s="478" t="s">
        <v>8634</v>
      </c>
      <c r="F158" s="472" t="s">
        <v>7699</v>
      </c>
      <c r="G158" s="12" t="s">
        <v>9205</v>
      </c>
      <c r="H158" s="424" t="s">
        <v>6001</v>
      </c>
      <c r="I158" s="424" t="s">
        <v>6069</v>
      </c>
      <c r="J158" s="424" t="s">
        <v>7261</v>
      </c>
      <c r="K158" s="476" t="s">
        <v>6586</v>
      </c>
    </row>
    <row r="159" spans="1:11" ht="28.8" x14ac:dyDescent="0.3">
      <c r="A159" t="s">
        <v>4111</v>
      </c>
      <c r="B159" s="423" t="str">
        <f t="shared" si="6"/>
        <v>B1 - Informativa delle certificazioni o marchi di sostenibilità</v>
      </c>
      <c r="C159" t="s">
        <v>4360</v>
      </c>
      <c r="D159" s="470" t="s">
        <v>8171</v>
      </c>
      <c r="E159" s="470" t="s">
        <v>8635</v>
      </c>
      <c r="F159" s="471" t="s">
        <v>7700</v>
      </c>
      <c r="G159" t="s">
        <v>9206</v>
      </c>
      <c r="H159" s="89" t="s">
        <v>6905</v>
      </c>
      <c r="I159" s="89" t="s">
        <v>6222</v>
      </c>
      <c r="J159" s="89" t="s">
        <v>7262</v>
      </c>
      <c r="K159" s="456" t="s">
        <v>6587</v>
      </c>
    </row>
    <row r="160" spans="1:11" ht="28.8" x14ac:dyDescent="0.3">
      <c r="A160" t="s">
        <v>4112</v>
      </c>
      <c r="B160" s="423" t="str">
        <f t="shared" si="6"/>
        <v>L'impresa ha ottenuto una o più certificazioni o marchi di sostenibilità?</v>
      </c>
      <c r="C160" t="s">
        <v>3092</v>
      </c>
      <c r="D160" s="470" t="s">
        <v>8172</v>
      </c>
      <c r="E160" s="470" t="s">
        <v>8636</v>
      </c>
      <c r="F160" s="471" t="s">
        <v>7701</v>
      </c>
      <c r="G160" t="s">
        <v>9207</v>
      </c>
      <c r="H160" s="89" t="s">
        <v>6906</v>
      </c>
      <c r="I160" s="89" t="s">
        <v>6223</v>
      </c>
      <c r="J160" s="89" t="s">
        <v>7263</v>
      </c>
      <c r="K160" s="456" t="s">
        <v>5737</v>
      </c>
    </row>
    <row r="161" spans="1:11" s="12" customFormat="1" ht="58.2" thickBot="1" x14ac:dyDescent="0.35">
      <c r="A161" s="12" t="s">
        <v>4113</v>
      </c>
      <c r="B161" s="457" t="str">
        <f t="shared" si="6"/>
        <v>Descrizione della/e certificazione/i o marchio/i di sostenibilità, includendo, se del caso, i soggetti che hanno rilasciato la certificazione o il marchio, la datadi rilascio e il punteggio di valutazione</v>
      </c>
      <c r="C161" s="12" t="s">
        <v>4030</v>
      </c>
      <c r="D161" s="478" t="s">
        <v>8173</v>
      </c>
      <c r="E161" s="478" t="s">
        <v>8637</v>
      </c>
      <c r="F161" s="472" t="s">
        <v>7702</v>
      </c>
      <c r="G161" s="12" t="s">
        <v>9208</v>
      </c>
      <c r="H161" s="424" t="s">
        <v>6907</v>
      </c>
      <c r="I161" s="424" t="s">
        <v>6224</v>
      </c>
      <c r="J161" s="424" t="s">
        <v>7264</v>
      </c>
      <c r="K161" s="476" t="s">
        <v>6588</v>
      </c>
    </row>
    <row r="162" spans="1:11" ht="28.8" x14ac:dyDescent="0.3">
      <c r="A162" t="s">
        <v>4114</v>
      </c>
      <c r="B162" s="423" t="str">
        <f t="shared" si="6"/>
        <v>Elenco del/i sito(i) B1</v>
      </c>
      <c r="C162" t="s">
        <v>4361</v>
      </c>
      <c r="D162" s="470" t="s">
        <v>8174</v>
      </c>
      <c r="E162" s="470" t="s">
        <v>8638</v>
      </c>
      <c r="F162" s="471" t="s">
        <v>7703</v>
      </c>
      <c r="G162" t="s">
        <v>9209</v>
      </c>
      <c r="H162" s="89" t="s">
        <v>6908</v>
      </c>
      <c r="I162" s="89" t="s">
        <v>6225</v>
      </c>
      <c r="J162" s="89" t="s">
        <v>7265</v>
      </c>
      <c r="K162" s="456" t="s">
        <v>6589</v>
      </c>
    </row>
    <row r="163" spans="1:11" x14ac:dyDescent="0.3">
      <c r="A163" t="s">
        <v>4115</v>
      </c>
      <c r="B163" s="423" t="str">
        <f t="shared" si="6"/>
        <v>Indirizzo</v>
      </c>
      <c r="C163" t="s">
        <v>8</v>
      </c>
      <c r="D163" s="470" t="s">
        <v>7704</v>
      </c>
      <c r="E163" s="470" t="s">
        <v>7704</v>
      </c>
      <c r="F163" s="471" t="s">
        <v>7704</v>
      </c>
      <c r="G163" t="s">
        <v>9210</v>
      </c>
      <c r="H163" s="89" t="s">
        <v>6002</v>
      </c>
      <c r="I163" s="89" t="s">
        <v>5691</v>
      </c>
      <c r="J163" s="89" t="s">
        <v>7266</v>
      </c>
      <c r="K163" s="456" t="s">
        <v>5738</v>
      </c>
    </row>
    <row r="164" spans="1:11" x14ac:dyDescent="0.3">
      <c r="A164" t="s">
        <v>4116</v>
      </c>
      <c r="B164" s="423" t="str">
        <f t="shared" si="6"/>
        <v>Codice postale</v>
      </c>
      <c r="C164" t="s">
        <v>9</v>
      </c>
      <c r="D164" s="470" t="s">
        <v>8175</v>
      </c>
      <c r="E164" s="470" t="s">
        <v>8639</v>
      </c>
      <c r="F164" s="471" t="s">
        <v>7705</v>
      </c>
      <c r="G164" t="s">
        <v>9211</v>
      </c>
      <c r="H164" s="89" t="s">
        <v>6003</v>
      </c>
      <c r="I164" s="89" t="s">
        <v>5927</v>
      </c>
      <c r="J164" s="89" t="s">
        <v>5739</v>
      </c>
      <c r="K164" s="456" t="s">
        <v>5739</v>
      </c>
    </row>
    <row r="165" spans="1:11" ht="43.2" x14ac:dyDescent="0.3">
      <c r="A165" t="s">
        <v>4117</v>
      </c>
      <c r="B165" s="423" t="str">
        <f t="shared" si="6"/>
        <v>Città</v>
      </c>
      <c r="C165" t="s">
        <v>10</v>
      </c>
      <c r="D165" s="470" t="s">
        <v>8176</v>
      </c>
      <c r="E165" s="470" t="s">
        <v>8640</v>
      </c>
      <c r="F165" s="471" t="s">
        <v>7706</v>
      </c>
      <c r="G165" t="s">
        <v>9212</v>
      </c>
      <c r="H165" s="89" t="s">
        <v>6909</v>
      </c>
      <c r="I165" s="89" t="s">
        <v>5928</v>
      </c>
      <c r="J165" s="89" t="s">
        <v>5846</v>
      </c>
      <c r="K165" s="456" t="s">
        <v>5740</v>
      </c>
    </row>
    <row r="166" spans="1:11" x14ac:dyDescent="0.3">
      <c r="A166" t="s">
        <v>4118</v>
      </c>
      <c r="B166" s="423" t="str">
        <f t="shared" si="6"/>
        <v>Paese</v>
      </c>
      <c r="C166" t="s">
        <v>11</v>
      </c>
      <c r="D166" s="470" t="s">
        <v>7707</v>
      </c>
      <c r="E166" s="470" t="s">
        <v>8641</v>
      </c>
      <c r="F166" s="471" t="s">
        <v>7707</v>
      </c>
      <c r="G166" t="s">
        <v>9213</v>
      </c>
      <c r="H166" s="89" t="s">
        <v>6910</v>
      </c>
      <c r="I166" s="89" t="s">
        <v>5929</v>
      </c>
      <c r="J166" s="89" t="s">
        <v>5741</v>
      </c>
      <c r="K166" s="456" t="s">
        <v>5741</v>
      </c>
    </row>
    <row r="167" spans="1:11" x14ac:dyDescent="0.3">
      <c r="A167" t="s">
        <v>4119</v>
      </c>
      <c r="B167" s="423" t="str">
        <f t="shared" si="6"/>
        <v>Coordinate GPS (geolocalizzazione)</v>
      </c>
      <c r="C167" t="s">
        <v>2920</v>
      </c>
      <c r="D167" s="470" t="s">
        <v>8177</v>
      </c>
      <c r="E167" s="470" t="s">
        <v>8642</v>
      </c>
      <c r="F167" s="471" t="s">
        <v>7708</v>
      </c>
      <c r="G167" t="s">
        <v>9214</v>
      </c>
      <c r="H167" s="89" t="s">
        <v>6911</v>
      </c>
      <c r="I167" s="89" t="s">
        <v>6226</v>
      </c>
      <c r="J167" s="89" t="s">
        <v>5847</v>
      </c>
      <c r="K167" s="456" t="s">
        <v>5742</v>
      </c>
    </row>
    <row r="168" spans="1:11" s="12" customFormat="1" ht="13.95" customHeight="1" thickBot="1" x14ac:dyDescent="0.35">
      <c r="A168" s="12" t="s">
        <v>4120</v>
      </c>
      <c r="B168" s="457" t="str">
        <f t="shared" si="6"/>
        <v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v>
      </c>
      <c r="C168" s="458" t="s">
        <v>4363</v>
      </c>
      <c r="D168" s="478" t="s">
        <v>8178</v>
      </c>
      <c r="E168" s="478" t="s">
        <v>8643</v>
      </c>
      <c r="F168" s="472" t="s">
        <v>7709</v>
      </c>
      <c r="G168" s="12" t="s">
        <v>9215</v>
      </c>
      <c r="H168" s="424" t="s">
        <v>6912</v>
      </c>
      <c r="I168" s="424" t="s">
        <v>6227</v>
      </c>
      <c r="J168" s="424" t="s">
        <v>7267</v>
      </c>
      <c r="K168" s="476" t="s">
        <v>6590</v>
      </c>
    </row>
    <row r="169" spans="1:11" ht="28.8" x14ac:dyDescent="0.3">
      <c r="A169" t="s">
        <v>4121</v>
      </c>
      <c r="B169" s="423" t="str">
        <f t="shared" si="6"/>
        <v>B2 –   Pratiche, politiche e iniziative future per la transizione verso un'economia più sostenibile</v>
      </c>
      <c r="C169" t="s">
        <v>4031</v>
      </c>
      <c r="D169" s="470" t="s">
        <v>8179</v>
      </c>
      <c r="E169" s="470" t="s">
        <v>8554</v>
      </c>
      <c r="F169" s="471" t="s">
        <v>7710</v>
      </c>
      <c r="G169" t="s">
        <v>9216</v>
      </c>
      <c r="H169" s="89" t="s">
        <v>6913</v>
      </c>
      <c r="I169" s="89" t="s">
        <v>5930</v>
      </c>
      <c r="J169" s="89" t="s">
        <v>7208</v>
      </c>
      <c r="K169" s="456" t="s">
        <v>5743</v>
      </c>
    </row>
    <row r="170" spans="1:11" ht="43.2" x14ac:dyDescent="0.3">
      <c r="A170" t="s">
        <v>4122</v>
      </c>
      <c r="B170" s="423" t="str">
        <f t="shared" si="6"/>
        <v>L'impresa ha predisposto pratiche, politiche e/o iniziative future specifiche per la transizione verso un'economia più sostenibile?</v>
      </c>
      <c r="C170" t="s">
        <v>4053</v>
      </c>
      <c r="D170" s="470" t="s">
        <v>8180</v>
      </c>
      <c r="E170" s="470" t="s">
        <v>8644</v>
      </c>
      <c r="F170" s="471" t="s">
        <v>7711</v>
      </c>
      <c r="G170" t="s">
        <v>9217</v>
      </c>
      <c r="H170" s="89" t="s">
        <v>6914</v>
      </c>
      <c r="I170" s="89" t="s">
        <v>6228</v>
      </c>
      <c r="J170" s="89" t="s">
        <v>7268</v>
      </c>
      <c r="K170" s="456" t="s">
        <v>6591</v>
      </c>
    </row>
    <row r="171" spans="1:11" ht="43.2" x14ac:dyDescent="0.3">
      <c r="A171" t="s">
        <v>4123</v>
      </c>
      <c r="B171" s="423" t="str">
        <f t="shared" si="6"/>
        <v xml:space="preserve">Questioni attinenti alla sostenibilità affrontate da una pratica, politica e/o iniziative future che l'impresa ha predisposto
</v>
      </c>
      <c r="C171" t="s">
        <v>4054</v>
      </c>
      <c r="D171" s="470" t="s">
        <v>8181</v>
      </c>
      <c r="E171" s="470" t="s">
        <v>8645</v>
      </c>
      <c r="F171" s="471" t="s">
        <v>7712</v>
      </c>
      <c r="G171" t="s">
        <v>9218</v>
      </c>
      <c r="H171" s="89" t="s">
        <v>6915</v>
      </c>
      <c r="I171" s="89" t="s">
        <v>6229</v>
      </c>
      <c r="J171" s="89" t="s">
        <v>7269</v>
      </c>
      <c r="K171" s="456" t="s">
        <v>6592</v>
      </c>
    </row>
    <row r="172" spans="1:11" ht="43.2" x14ac:dyDescent="0.3">
      <c r="A172" t="s">
        <v>4124</v>
      </c>
      <c r="B172" s="423" t="str">
        <f t="shared" si="6"/>
        <v xml:space="preserve">L'impresa ha una pratica, politica e/o un'iniziativa futura che è disponibile al pubblico
</v>
      </c>
      <c r="C172" t="s">
        <v>4029</v>
      </c>
      <c r="D172" s="470" t="s">
        <v>8182</v>
      </c>
      <c r="E172" s="470" t="s">
        <v>8646</v>
      </c>
      <c r="F172" s="471" t="s">
        <v>7713</v>
      </c>
      <c r="G172" t="s">
        <v>9219</v>
      </c>
      <c r="H172" s="89" t="s">
        <v>6916</v>
      </c>
      <c r="I172" s="89" t="s">
        <v>6230</v>
      </c>
      <c r="J172" s="89" t="s">
        <v>7270</v>
      </c>
      <c r="K172" s="456" t="s">
        <v>6593</v>
      </c>
    </row>
    <row r="173" spans="1:11" ht="28.8" x14ac:dyDescent="0.3">
      <c r="A173" t="s">
        <v>4125</v>
      </c>
      <c r="B173" s="423" t="str">
        <f t="shared" si="6"/>
        <v>L'impresa ha stabilito un obiettivo che è collegato a una politica</v>
      </c>
      <c r="C173" t="s">
        <v>3571</v>
      </c>
      <c r="D173" s="470" t="s">
        <v>8183</v>
      </c>
      <c r="E173" s="470" t="s">
        <v>8647</v>
      </c>
      <c r="F173" s="471" t="s">
        <v>7714</v>
      </c>
      <c r="G173" t="s">
        <v>9220</v>
      </c>
      <c r="H173" s="89" t="s">
        <v>6917</v>
      </c>
      <c r="I173" s="89" t="s">
        <v>6231</v>
      </c>
      <c r="J173" s="89" t="s">
        <v>7271</v>
      </c>
      <c r="K173" s="456" t="s">
        <v>6594</v>
      </c>
    </row>
    <row r="174" spans="1:11" x14ac:dyDescent="0.3">
      <c r="A174" t="s">
        <v>4126</v>
      </c>
      <c r="B174" s="423" t="str">
        <f t="shared" si="6"/>
        <v>Cambiamenti climatici</v>
      </c>
      <c r="C174" t="s">
        <v>2891</v>
      </c>
      <c r="D174" s="470" t="s">
        <v>8184</v>
      </c>
      <c r="E174" s="470" t="s">
        <v>8648</v>
      </c>
      <c r="F174" s="471" t="s">
        <v>7715</v>
      </c>
      <c r="G174" t="s">
        <v>9221</v>
      </c>
      <c r="H174" s="89" t="s">
        <v>6004</v>
      </c>
      <c r="I174" s="89" t="s">
        <v>6232</v>
      </c>
      <c r="J174" s="89" t="s">
        <v>7272</v>
      </c>
      <c r="K174" s="456" t="s">
        <v>5744</v>
      </c>
    </row>
    <row r="175" spans="1:11" x14ac:dyDescent="0.3">
      <c r="A175" t="s">
        <v>4127</v>
      </c>
      <c r="B175" s="423" t="str">
        <f t="shared" si="6"/>
        <v>Inquinamento</v>
      </c>
      <c r="C175" t="s">
        <v>2892</v>
      </c>
      <c r="D175" s="470" t="s">
        <v>8185</v>
      </c>
      <c r="E175" s="470" t="s">
        <v>2892</v>
      </c>
      <c r="F175" s="471" t="s">
        <v>7716</v>
      </c>
      <c r="G175" t="s">
        <v>9222</v>
      </c>
      <c r="H175" s="89" t="s">
        <v>6005</v>
      </c>
      <c r="I175" s="89" t="s">
        <v>5931</v>
      </c>
      <c r="J175" s="89" t="s">
        <v>5848</v>
      </c>
      <c r="K175" s="456" t="s">
        <v>5745</v>
      </c>
    </row>
    <row r="176" spans="1:11" x14ac:dyDescent="0.3">
      <c r="A176" t="s">
        <v>4128</v>
      </c>
      <c r="B176" s="423" t="str">
        <f t="shared" si="6"/>
        <v>Acque e risorse marine</v>
      </c>
      <c r="C176" t="s">
        <v>2893</v>
      </c>
      <c r="D176" s="470" t="s">
        <v>8186</v>
      </c>
      <c r="E176" s="470" t="s">
        <v>8649</v>
      </c>
      <c r="F176" s="471" t="s">
        <v>7717</v>
      </c>
      <c r="G176" t="s">
        <v>9223</v>
      </c>
      <c r="H176" s="89" t="s">
        <v>6006</v>
      </c>
      <c r="I176" s="89" t="s">
        <v>6233</v>
      </c>
      <c r="J176" s="89" t="s">
        <v>7273</v>
      </c>
      <c r="K176" s="456" t="s">
        <v>6595</v>
      </c>
    </row>
    <row r="177" spans="1:11" x14ac:dyDescent="0.3">
      <c r="A177" t="s">
        <v>4129</v>
      </c>
      <c r="B177" s="423" t="str">
        <f t="shared" si="6"/>
        <v>Biodiversità ed ecosistemi</v>
      </c>
      <c r="C177" t="s">
        <v>2894</v>
      </c>
      <c r="D177" s="470" t="s">
        <v>8187</v>
      </c>
      <c r="E177" s="470" t="s">
        <v>8650</v>
      </c>
      <c r="F177" s="471" t="s">
        <v>7718</v>
      </c>
      <c r="G177" t="s">
        <v>9224</v>
      </c>
      <c r="H177" s="89" t="s">
        <v>6007</v>
      </c>
      <c r="I177" s="89" t="s">
        <v>6234</v>
      </c>
      <c r="J177" s="89" t="s">
        <v>5849</v>
      </c>
      <c r="K177" s="456" t="s">
        <v>6097</v>
      </c>
    </row>
    <row r="178" spans="1:11" x14ac:dyDescent="0.3">
      <c r="A178" t="s">
        <v>4130</v>
      </c>
      <c r="B178" s="423" t="str">
        <f t="shared" si="6"/>
        <v>Economia circolare</v>
      </c>
      <c r="C178" t="s">
        <v>2895</v>
      </c>
      <c r="D178" s="470" t="s">
        <v>8188</v>
      </c>
      <c r="E178" s="470" t="s">
        <v>8651</v>
      </c>
      <c r="F178" s="471" t="s">
        <v>7719</v>
      </c>
      <c r="G178" t="s">
        <v>9225</v>
      </c>
      <c r="H178" s="89" t="s">
        <v>6054</v>
      </c>
      <c r="I178" s="89" t="s">
        <v>5932</v>
      </c>
      <c r="J178" s="89" t="s">
        <v>5850</v>
      </c>
      <c r="K178" s="456" t="s">
        <v>5746</v>
      </c>
    </row>
    <row r="179" spans="1:11" x14ac:dyDescent="0.3">
      <c r="A179" t="s">
        <v>4131</v>
      </c>
      <c r="B179" s="423" t="str">
        <f t="shared" si="6"/>
        <v>Forza lavoro propria</v>
      </c>
      <c r="C179" t="s">
        <v>2896</v>
      </c>
      <c r="D179" s="470" t="s">
        <v>8189</v>
      </c>
      <c r="E179" s="470" t="s">
        <v>8652</v>
      </c>
      <c r="F179" s="471" t="s">
        <v>7720</v>
      </c>
      <c r="G179" t="s">
        <v>9226</v>
      </c>
      <c r="H179" s="89" t="s">
        <v>6918</v>
      </c>
      <c r="I179" s="89" t="s">
        <v>6235</v>
      </c>
      <c r="J179" s="89" t="s">
        <v>7274</v>
      </c>
      <c r="K179" s="456" t="s">
        <v>6483</v>
      </c>
    </row>
    <row r="180" spans="1:11" x14ac:dyDescent="0.3">
      <c r="A180" t="s">
        <v>4132</v>
      </c>
      <c r="B180" s="423" t="str">
        <f t="shared" si="6"/>
        <v xml:space="preserve">Lavoratori nella catena del valore
</v>
      </c>
      <c r="C180" t="s">
        <v>2652</v>
      </c>
      <c r="D180" s="470" t="s">
        <v>8190</v>
      </c>
      <c r="E180" s="470" t="s">
        <v>8653</v>
      </c>
      <c r="F180" s="471" t="s">
        <v>7721</v>
      </c>
      <c r="G180" t="s">
        <v>9227</v>
      </c>
      <c r="H180" s="89" t="s">
        <v>6055</v>
      </c>
      <c r="I180" s="89" t="s">
        <v>6236</v>
      </c>
      <c r="J180" s="89" t="s">
        <v>7279</v>
      </c>
      <c r="K180" s="456" t="s">
        <v>6596</v>
      </c>
    </row>
    <row r="181" spans="1:11" x14ac:dyDescent="0.3">
      <c r="A181" t="s">
        <v>4133</v>
      </c>
      <c r="B181" s="423" t="str">
        <f t="shared" si="6"/>
        <v xml:space="preserve">Comunità interessate
</v>
      </c>
      <c r="C181" t="s">
        <v>2897</v>
      </c>
      <c r="D181" s="470" t="s">
        <v>8191</v>
      </c>
      <c r="E181" s="470" t="s">
        <v>8654</v>
      </c>
      <c r="F181" s="471" t="s">
        <v>7722</v>
      </c>
      <c r="G181" t="s">
        <v>9228</v>
      </c>
      <c r="H181" s="89" t="s">
        <v>6919</v>
      </c>
      <c r="I181" s="89" t="s">
        <v>6237</v>
      </c>
      <c r="J181" s="89" t="s">
        <v>5851</v>
      </c>
      <c r="K181" s="456" t="s">
        <v>5747</v>
      </c>
    </row>
    <row r="182" spans="1:11" x14ac:dyDescent="0.3">
      <c r="A182" t="s">
        <v>4134</v>
      </c>
      <c r="B182" s="423" t="str">
        <f t="shared" si="6"/>
        <v>Consumatori e utilizzatori finali</v>
      </c>
      <c r="C182" t="s">
        <v>2898</v>
      </c>
      <c r="D182" s="470" t="s">
        <v>8192</v>
      </c>
      <c r="E182" s="470" t="s">
        <v>8655</v>
      </c>
      <c r="F182" s="471" t="s">
        <v>7723</v>
      </c>
      <c r="G182" t="s">
        <v>9229</v>
      </c>
      <c r="H182" s="89" t="s">
        <v>6056</v>
      </c>
      <c r="I182" s="89" t="s">
        <v>5933</v>
      </c>
      <c r="J182" s="89" t="s">
        <v>5852</v>
      </c>
      <c r="K182" s="456" t="s">
        <v>5748</v>
      </c>
    </row>
    <row r="183" spans="1:11" s="12" customFormat="1" ht="15" thickBot="1" x14ac:dyDescent="0.35">
      <c r="A183" s="12" t="s">
        <v>4135</v>
      </c>
      <c r="B183" s="457" t="str">
        <f t="shared" si="6"/>
        <v>Condotta delle imprese</v>
      </c>
      <c r="C183" s="12" t="s">
        <v>2889</v>
      </c>
      <c r="D183" s="478" t="s">
        <v>8193</v>
      </c>
      <c r="E183" s="478" t="s">
        <v>8656</v>
      </c>
      <c r="F183" s="472" t="s">
        <v>7724</v>
      </c>
      <c r="G183" s="12" t="s">
        <v>9230</v>
      </c>
      <c r="H183" s="424" t="s">
        <v>6920</v>
      </c>
      <c r="I183" s="424" t="s">
        <v>6238</v>
      </c>
      <c r="J183" s="424" t="s">
        <v>7275</v>
      </c>
      <c r="K183" s="476" t="s">
        <v>5749</v>
      </c>
    </row>
    <row r="184" spans="1:11" x14ac:dyDescent="0.3">
      <c r="A184" t="s">
        <v>4136</v>
      </c>
      <c r="B184" s="423" t="str">
        <f t="shared" si="6"/>
        <v>B2 - Informative specifiche per cooperative</v>
      </c>
      <c r="C184" t="s">
        <v>4005</v>
      </c>
      <c r="D184" s="470" t="s">
        <v>8194</v>
      </c>
      <c r="E184" s="456" t="s">
        <v>8657</v>
      </c>
      <c r="F184" s="471" t="s">
        <v>7725</v>
      </c>
      <c r="G184" t="s">
        <v>9231</v>
      </c>
      <c r="H184" s="89" t="s">
        <v>6008</v>
      </c>
      <c r="I184" s="89" t="s">
        <v>5934</v>
      </c>
      <c r="J184" s="89" t="s">
        <v>5853</v>
      </c>
      <c r="K184" s="456" t="s">
        <v>5750</v>
      </c>
    </row>
    <row r="185" spans="1:11" ht="43.2" x14ac:dyDescent="0.3">
      <c r="A185" t="s">
        <v>4137</v>
      </c>
      <c r="B185" s="423" t="str">
        <f t="shared" si="6"/>
        <v>Se l'impresa è una cooperativa, può comunicare: la partecipazione effettiva alla governance dei lavoratori, utilizzatori e altre parti o comunità interessate.</v>
      </c>
      <c r="C185" t="s">
        <v>4028</v>
      </c>
      <c r="D185" s="470" t="s">
        <v>8195</v>
      </c>
      <c r="E185" s="470" t="s">
        <v>8658</v>
      </c>
      <c r="F185" s="471" t="s">
        <v>7726</v>
      </c>
      <c r="G185" t="s">
        <v>9232</v>
      </c>
      <c r="H185" s="89" t="s">
        <v>6921</v>
      </c>
      <c r="I185" s="89" t="s">
        <v>6239</v>
      </c>
      <c r="J185" s="89" t="s">
        <v>7280</v>
      </c>
      <c r="K185" s="456" t="s">
        <v>6597</v>
      </c>
    </row>
    <row r="186" spans="1:11" ht="57.6" x14ac:dyDescent="0.3">
      <c r="A186" t="s">
        <v>4138</v>
      </c>
      <c r="B186" s="423" t="str">
        <f t="shared" si="6"/>
        <v>L'investimento finanziario nel capitale o negli attivi dei soggetti dell'economia sociale di cui alla Raccomandazione del Consiglio del 29 settembre 2023 (escluse le donazioni e i contributi)</v>
      </c>
      <c r="C186" t="s">
        <v>3674</v>
      </c>
      <c r="D186" s="470" t="s">
        <v>8196</v>
      </c>
      <c r="E186" s="470" t="s">
        <v>8659</v>
      </c>
      <c r="F186" s="471" t="s">
        <v>7727</v>
      </c>
      <c r="G186" t="s">
        <v>9233</v>
      </c>
      <c r="H186" s="89" t="s">
        <v>6922</v>
      </c>
      <c r="I186" s="89" t="s">
        <v>6240</v>
      </c>
      <c r="J186" s="89" t="s">
        <v>7281</v>
      </c>
      <c r="K186" s="456" t="s">
        <v>6598</v>
      </c>
    </row>
    <row r="187" spans="1:11" s="12" customFormat="1" ht="58.2" thickBot="1" x14ac:dyDescent="0.35">
      <c r="A187" s="12" t="s">
        <v>4139</v>
      </c>
      <c r="B187" s="457" t="str">
        <f t="shared" si="6"/>
        <v>Eventuali limiti alla distribuzione degli utili connessi alla natura mutualistica o alla natura delle attività che consistono in servizi di interesse economico generale (SIEG)</v>
      </c>
      <c r="C187" s="12" t="s">
        <v>4630</v>
      </c>
      <c r="D187" s="478" t="s">
        <v>8197</v>
      </c>
      <c r="E187" s="478" t="s">
        <v>8660</v>
      </c>
      <c r="F187" s="472" t="s">
        <v>7728</v>
      </c>
      <c r="G187" s="12" t="s">
        <v>9234</v>
      </c>
      <c r="H187" s="424" t="s">
        <v>6923</v>
      </c>
      <c r="I187" s="424" t="s">
        <v>6241</v>
      </c>
      <c r="J187" s="424" t="s">
        <v>7282</v>
      </c>
      <c r="K187" s="476" t="s">
        <v>6599</v>
      </c>
    </row>
    <row r="188" spans="1:11" ht="43.2" x14ac:dyDescent="0.3">
      <c r="A188" t="s">
        <v>4140</v>
      </c>
      <c r="B188" s="423" t="str">
        <f t="shared" si="6"/>
        <v>C2 – Descrizione delle pratiche, delle politiche e delle iniziative future per la transizione verso un'economia più sostenibile</v>
      </c>
      <c r="C188" t="s">
        <v>4032</v>
      </c>
      <c r="D188" s="470" t="s">
        <v>8198</v>
      </c>
      <c r="E188" s="470" t="s">
        <v>8577</v>
      </c>
      <c r="F188" s="471" t="s">
        <v>7729</v>
      </c>
      <c r="G188" t="s">
        <v>9235</v>
      </c>
      <c r="H188" s="89" t="s">
        <v>6924</v>
      </c>
      <c r="I188" s="89" t="s">
        <v>5935</v>
      </c>
      <c r="J188" s="89" t="s">
        <v>7283</v>
      </c>
      <c r="K188" s="456" t="s">
        <v>6558</v>
      </c>
    </row>
    <row r="189" spans="1:11" ht="72" x14ac:dyDescent="0.3">
      <c r="A189" t="s">
        <v>4141</v>
      </c>
      <c r="B189" s="423" t="str">
        <f t="shared" si="6"/>
        <v>Descrizione di una pratica, politica e/o iniziativa futura verso un futuro più sostenibile (nel caso in cui la pratica, politica o iniziativa futura riguardi fornitori o clienti, l'impresa dovrà menzionarlo)</v>
      </c>
      <c r="C189" t="s">
        <v>4055</v>
      </c>
      <c r="D189" s="470" t="s">
        <v>8199</v>
      </c>
      <c r="E189" s="470" t="s">
        <v>8661</v>
      </c>
      <c r="F189" s="471" t="s">
        <v>7730</v>
      </c>
      <c r="G189" t="s">
        <v>9236</v>
      </c>
      <c r="H189" s="89" t="s">
        <v>6925</v>
      </c>
      <c r="I189" s="89" t="s">
        <v>6242</v>
      </c>
      <c r="J189" s="89" t="s">
        <v>7284</v>
      </c>
      <c r="K189" s="456" t="s">
        <v>6600</v>
      </c>
    </row>
    <row r="190" spans="1:11" ht="43.2" x14ac:dyDescent="0.3">
      <c r="A190" t="s">
        <v>4142</v>
      </c>
      <c r="B190" s="423" t="str">
        <f t="shared" si="6"/>
        <v>Descrizione dell'obiettivo relativo a una politica</v>
      </c>
      <c r="C190" t="s">
        <v>3572</v>
      </c>
      <c r="D190" s="470" t="s">
        <v>8200</v>
      </c>
      <c r="E190" s="470" t="s">
        <v>8662</v>
      </c>
      <c r="F190" s="471" t="s">
        <v>7731</v>
      </c>
      <c r="G190" t="s">
        <v>9237</v>
      </c>
      <c r="H190" s="89" t="s">
        <v>6009</v>
      </c>
      <c r="I190" s="89" t="s">
        <v>6243</v>
      </c>
      <c r="J190" s="89" t="s">
        <v>7285</v>
      </c>
      <c r="K190" s="456" t="s">
        <v>6601</v>
      </c>
    </row>
    <row r="191" spans="1:11" s="12" customFormat="1" ht="43.8" thickBot="1" x14ac:dyDescent="0.35">
      <c r="A191" s="12" t="s">
        <v>4143</v>
      </c>
      <c r="B191" s="457" t="str">
        <f t="shared" si="6"/>
        <v>Il livello gerarchico più elevato tra i suoi dipendenticui spetta la responsabilità dell'attuazione delle politiche, laddove l'impresa lo abbia stabilito</v>
      </c>
      <c r="C191" s="12" t="s">
        <v>4615</v>
      </c>
      <c r="D191" s="478" t="s">
        <v>8201</v>
      </c>
      <c r="E191" s="478" t="s">
        <v>8663</v>
      </c>
      <c r="F191" s="472" t="s">
        <v>7732</v>
      </c>
      <c r="G191" s="12" t="s">
        <v>9238</v>
      </c>
      <c r="H191" s="424" t="s">
        <v>6926</v>
      </c>
      <c r="I191" s="424" t="s">
        <v>6244</v>
      </c>
      <c r="J191" s="424" t="s">
        <v>7286</v>
      </c>
      <c r="K191" s="476" t="s">
        <v>6602</v>
      </c>
    </row>
    <row r="192" spans="1:11" ht="28.8" x14ac:dyDescent="0.3">
      <c r="A192" t="s">
        <v>4144</v>
      </c>
      <c r="B192" s="423" t="str">
        <f t="shared" si="6"/>
        <v>C1 – Strategia: modello aziendale e iniziative connesse alla sostenibilità</v>
      </c>
      <c r="C192" t="s">
        <v>12</v>
      </c>
      <c r="D192" s="470" t="s">
        <v>8202</v>
      </c>
      <c r="E192" s="470" t="s">
        <v>8664</v>
      </c>
      <c r="F192" s="471" t="s">
        <v>7733</v>
      </c>
      <c r="G192" t="s">
        <v>9239</v>
      </c>
      <c r="H192" s="89" t="s">
        <v>6927</v>
      </c>
      <c r="I192" s="89" t="s">
        <v>6245</v>
      </c>
      <c r="J192" s="89" t="s">
        <v>7287</v>
      </c>
      <c r="K192" s="456" t="s">
        <v>6505</v>
      </c>
    </row>
    <row r="193" spans="1:11" ht="28.8" x14ac:dyDescent="0.3">
      <c r="A193" t="s">
        <v>4145</v>
      </c>
      <c r="B193" s="423" t="str">
        <f t="shared" si="6"/>
        <v>Descrizione dei gruppi significativi di prodotti e/o servizi offerti</v>
      </c>
      <c r="C193" t="s">
        <v>3992</v>
      </c>
      <c r="D193" s="470" t="s">
        <v>8203</v>
      </c>
      <c r="E193" s="470" t="s">
        <v>8665</v>
      </c>
      <c r="F193" s="471" t="s">
        <v>7734</v>
      </c>
      <c r="G193" t="s">
        <v>9240</v>
      </c>
      <c r="H193" s="89" t="s">
        <v>6928</v>
      </c>
      <c r="I193" s="89" t="s">
        <v>6246</v>
      </c>
      <c r="J193" s="89" t="s">
        <v>7288</v>
      </c>
      <c r="K193" s="456" t="s">
        <v>6484</v>
      </c>
    </row>
    <row r="194" spans="1:11" ht="57.6" x14ac:dyDescent="0.3">
      <c r="A194" t="s">
        <v>4146</v>
      </c>
      <c r="B194" s="423" t="str">
        <f t="shared" si="6"/>
        <v>Descrizione del/i mercato/i significativo/i in cui opera l'impresa (ad esempio da impresa a impresa (B2B), all'ingrosso, al dettaglio, paesi)</v>
      </c>
      <c r="C194" t="s">
        <v>4631</v>
      </c>
      <c r="D194" s="470" t="s">
        <v>8204</v>
      </c>
      <c r="E194" s="470" t="s">
        <v>8666</v>
      </c>
      <c r="F194" s="471" t="s">
        <v>7735</v>
      </c>
      <c r="G194" t="s">
        <v>9241</v>
      </c>
      <c r="H194" s="89" t="s">
        <v>6929</v>
      </c>
      <c r="I194" s="89" t="s">
        <v>6247</v>
      </c>
      <c r="J194" s="89" t="s">
        <v>7289</v>
      </c>
      <c r="K194" s="456" t="s">
        <v>6603</v>
      </c>
    </row>
    <row r="195" spans="1:11" s="12" customFormat="1" ht="29.4" thickBot="1" x14ac:dyDescent="0.35">
      <c r="A195" s="12" t="s">
        <v>4366</v>
      </c>
      <c r="B195" s="457" t="str">
        <f t="shared" si="6"/>
        <v>Descrizione dei principali rapporti commerciali (ad esempio fornitori, clienti, canali di distribuzione chiave)</v>
      </c>
      <c r="C195" s="12" t="s">
        <v>4614</v>
      </c>
      <c r="D195" s="478" t="s">
        <v>8205</v>
      </c>
      <c r="E195" s="478" t="s">
        <v>8667</v>
      </c>
      <c r="F195" s="472" t="s">
        <v>7736</v>
      </c>
      <c r="G195" s="12" t="s">
        <v>9242</v>
      </c>
      <c r="H195" s="424" t="s">
        <v>6930</v>
      </c>
      <c r="I195" s="424" t="s">
        <v>6248</v>
      </c>
      <c r="J195" s="424" t="s">
        <v>7290</v>
      </c>
      <c r="K195" s="476" t="s">
        <v>6604</v>
      </c>
    </row>
    <row r="196" spans="1:11" ht="43.2" x14ac:dyDescent="0.3">
      <c r="A196" t="s">
        <v>4147</v>
      </c>
      <c r="B196" s="423" t="str">
        <f t="shared" ref="B196:B259" si="7">INDEX(C196:K196,MATCH(template_selected_display_language,$C$3:$K$3,0))</f>
        <v>La strategia presenta elementi chiave che riguardano o hanno ripercussioni su questioni attinenti alla sostenibilità?</v>
      </c>
      <c r="C196" t="s">
        <v>3087</v>
      </c>
      <c r="D196" s="470" t="s">
        <v>8206</v>
      </c>
      <c r="E196" s="470" t="s">
        <v>8668</v>
      </c>
      <c r="F196" s="471" t="s">
        <v>7737</v>
      </c>
      <c r="G196" t="s">
        <v>9243</v>
      </c>
      <c r="H196" s="89" t="s">
        <v>6931</v>
      </c>
      <c r="I196" s="89" t="s">
        <v>6249</v>
      </c>
      <c r="J196" s="89" t="s">
        <v>7291</v>
      </c>
      <c r="K196" s="456" t="s">
        <v>6605</v>
      </c>
    </row>
    <row r="197" spans="1:11" ht="28.8" x14ac:dyDescent="0.3">
      <c r="A197" t="s">
        <v>4148</v>
      </c>
      <c r="B197" s="423" t="str">
        <f t="shared" si="7"/>
        <v>Se la strategia presenta elementi chiave che riguardano o hanno ripercussioni su questioni attinenti alla sostenibilità, una breve descrizione di tali elementi chiave.</v>
      </c>
      <c r="C197" t="s">
        <v>3573</v>
      </c>
      <c r="D197" s="470" t="s">
        <v>8207</v>
      </c>
      <c r="E197" s="470" t="s">
        <v>8669</v>
      </c>
      <c r="F197" s="471" t="s">
        <v>7738</v>
      </c>
      <c r="G197" t="s">
        <v>9244</v>
      </c>
      <c r="H197" s="89" t="s">
        <v>6932</v>
      </c>
      <c r="I197" s="89" t="s">
        <v>6250</v>
      </c>
      <c r="J197" s="89" t="s">
        <v>7292</v>
      </c>
      <c r="K197" s="456" t="s">
        <v>6485</v>
      </c>
    </row>
    <row r="198" spans="1:11" s="12" customFormat="1" ht="43.8" thickBot="1" x14ac:dyDescent="0.35">
      <c r="A198" s="12" t="s">
        <v>4149</v>
      </c>
      <c r="B198" s="457" t="str">
        <f t="shared" si="7"/>
        <v>Comunicazione di qualsiasi altra informazione generale e/o specifica per soggetto riguardante il periodo di riferimento</v>
      </c>
      <c r="C198" s="12" t="s">
        <v>3993</v>
      </c>
      <c r="D198" s="478" t="s">
        <v>8208</v>
      </c>
      <c r="E198" s="478" t="s">
        <v>8670</v>
      </c>
      <c r="F198" s="472" t="s">
        <v>7739</v>
      </c>
      <c r="G198" s="12" t="s">
        <v>9245</v>
      </c>
      <c r="H198" s="424" t="s">
        <v>6933</v>
      </c>
      <c r="I198" s="424" t="s">
        <v>6188</v>
      </c>
      <c r="J198" s="424" t="s">
        <v>7293</v>
      </c>
      <c r="K198" s="476" t="s">
        <v>6606</v>
      </c>
    </row>
    <row r="199" spans="1:11" x14ac:dyDescent="0.3">
      <c r="A199" t="s">
        <v>4150</v>
      </c>
      <c r="B199" s="423" t="str">
        <f t="shared" si="7"/>
        <v>B3 - Consumo totale di energia (in MWh)</v>
      </c>
      <c r="C199" t="s">
        <v>3955</v>
      </c>
      <c r="D199" s="470" t="s">
        <v>8209</v>
      </c>
      <c r="E199" s="470" t="s">
        <v>8671</v>
      </c>
      <c r="F199" s="471" t="s">
        <v>7740</v>
      </c>
      <c r="G199" t="s">
        <v>9246</v>
      </c>
      <c r="H199" s="89" t="s">
        <v>6934</v>
      </c>
      <c r="I199" s="89" t="s">
        <v>5936</v>
      </c>
      <c r="J199" s="89" t="s">
        <v>7294</v>
      </c>
      <c r="K199" s="456" t="s">
        <v>6607</v>
      </c>
    </row>
    <row r="200" spans="1:11" s="12" customFormat="1" ht="29.4" thickBot="1" x14ac:dyDescent="0.35">
      <c r="A200" s="12" t="s">
        <v>4151</v>
      </c>
      <c r="B200" s="457" t="str">
        <f t="shared" si="7"/>
        <v>Consumo totale di energia</v>
      </c>
      <c r="C200" s="12" t="s">
        <v>2876</v>
      </c>
      <c r="D200" s="478" t="s">
        <v>8210</v>
      </c>
      <c r="E200" s="478" t="s">
        <v>8672</v>
      </c>
      <c r="F200" s="472" t="s">
        <v>7741</v>
      </c>
      <c r="G200" s="12" t="s">
        <v>9247</v>
      </c>
      <c r="H200" s="424" t="s">
        <v>6010</v>
      </c>
      <c r="I200" s="424" t="s">
        <v>5937</v>
      </c>
      <c r="J200" s="424" t="s">
        <v>6087</v>
      </c>
      <c r="K200" s="476" t="s">
        <v>6608</v>
      </c>
    </row>
    <row r="201" spans="1:11" x14ac:dyDescent="0.3">
      <c r="A201" t="s">
        <v>4152</v>
      </c>
      <c r="B201" s="423" t="str">
        <f t="shared" si="7"/>
        <v>B3 - Ripartizione del consumo di energia (in MWh)</v>
      </c>
      <c r="C201" t="s">
        <v>3956</v>
      </c>
      <c r="D201" s="470" t="s">
        <v>8211</v>
      </c>
      <c r="E201" s="470" t="s">
        <v>8673</v>
      </c>
      <c r="F201" s="471" t="s">
        <v>7742</v>
      </c>
      <c r="G201" t="s">
        <v>9248</v>
      </c>
      <c r="H201" s="89" t="s">
        <v>6935</v>
      </c>
      <c r="I201" s="89" t="s">
        <v>5938</v>
      </c>
      <c r="J201" s="89" t="s">
        <v>7295</v>
      </c>
      <c r="K201" s="456" t="s">
        <v>5751</v>
      </c>
    </row>
    <row r="202" spans="1:11" ht="43.2" x14ac:dyDescent="0.3">
      <c r="A202" t="s">
        <v>4153</v>
      </c>
      <c r="B202" s="423" t="str">
        <f t="shared" si="7"/>
        <v>L'impresa ha ottenuto le informazioni necessarie per fornire una ripartizione del consumo di energia?</v>
      </c>
      <c r="C202" t="s">
        <v>3086</v>
      </c>
      <c r="D202" s="470" t="s">
        <v>8212</v>
      </c>
      <c r="E202" s="470" t="s">
        <v>8674</v>
      </c>
      <c r="F202" s="471" t="s">
        <v>7743</v>
      </c>
      <c r="G202" t="s">
        <v>9249</v>
      </c>
      <c r="H202" s="89" t="s">
        <v>6936</v>
      </c>
      <c r="I202" s="89" t="s">
        <v>6251</v>
      </c>
      <c r="J202" s="89" t="s">
        <v>7296</v>
      </c>
      <c r="K202" s="456" t="s">
        <v>5752</v>
      </c>
    </row>
    <row r="203" spans="1:11" x14ac:dyDescent="0.3">
      <c r="A203" t="s">
        <v>4154</v>
      </c>
      <c r="B203" s="423" t="str">
        <f t="shared" si="7"/>
        <v>Rinnovabile</v>
      </c>
      <c r="C203" t="s">
        <v>3050</v>
      </c>
      <c r="D203" s="470" t="s">
        <v>8213</v>
      </c>
      <c r="E203" s="470" t="s">
        <v>8675</v>
      </c>
      <c r="F203" s="471" t="s">
        <v>7744</v>
      </c>
      <c r="G203" t="s">
        <v>9250</v>
      </c>
      <c r="H203" s="89" t="s">
        <v>6937</v>
      </c>
      <c r="I203" s="89" t="s">
        <v>5939</v>
      </c>
      <c r="J203" s="89" t="s">
        <v>5854</v>
      </c>
      <c r="K203" s="456" t="s">
        <v>5753</v>
      </c>
    </row>
    <row r="204" spans="1:11" x14ac:dyDescent="0.3">
      <c r="A204" t="s">
        <v>4155</v>
      </c>
      <c r="B204" s="423" t="str">
        <f t="shared" si="7"/>
        <v>Non rinnovabile</v>
      </c>
      <c r="C204" t="s">
        <v>3051</v>
      </c>
      <c r="D204" s="470" t="s">
        <v>8214</v>
      </c>
      <c r="E204" s="470" t="s">
        <v>8676</v>
      </c>
      <c r="F204" s="471" t="s">
        <v>7745</v>
      </c>
      <c r="G204" t="s">
        <v>9251</v>
      </c>
      <c r="H204" s="89" t="s">
        <v>6938</v>
      </c>
      <c r="I204" s="89" t="s">
        <v>6252</v>
      </c>
      <c r="J204" s="89" t="s">
        <v>5855</v>
      </c>
      <c r="K204" s="456" t="s">
        <v>5754</v>
      </c>
    </row>
    <row r="205" spans="1:11" x14ac:dyDescent="0.3">
      <c r="A205" t="s">
        <v>4156</v>
      </c>
      <c r="B205" s="423" t="str">
        <f t="shared" si="7"/>
        <v>Totale rinnovabile e non rinnovabile</v>
      </c>
      <c r="C205" t="s">
        <v>3052</v>
      </c>
      <c r="D205" s="470" t="s">
        <v>8215</v>
      </c>
      <c r="E205" s="470" t="s">
        <v>8677</v>
      </c>
      <c r="F205" s="471" t="s">
        <v>7746</v>
      </c>
      <c r="G205" t="s">
        <v>9252</v>
      </c>
      <c r="H205" s="89" t="s">
        <v>6939</v>
      </c>
      <c r="I205" s="89" t="s">
        <v>6253</v>
      </c>
      <c r="J205" s="89" t="s">
        <v>5856</v>
      </c>
      <c r="K205" s="456" t="s">
        <v>5755</v>
      </c>
    </row>
    <row r="206" spans="1:11" ht="28.8" x14ac:dyDescent="0.3">
      <c r="A206" t="s">
        <v>4157</v>
      </c>
      <c r="B206" s="423" t="str">
        <f t="shared" si="7"/>
        <v>Energia elettrica (secondo quanto risulta dalle bollette)</v>
      </c>
      <c r="C206" t="s">
        <v>13</v>
      </c>
      <c r="D206" s="470" t="s">
        <v>8216</v>
      </c>
      <c r="E206" s="479" t="s">
        <v>8678</v>
      </c>
      <c r="F206" s="471" t="s">
        <v>7747</v>
      </c>
      <c r="G206" t="s">
        <v>9253</v>
      </c>
      <c r="H206" s="89" t="s">
        <v>6940</v>
      </c>
      <c r="I206" s="89" t="s">
        <v>6254</v>
      </c>
      <c r="J206" s="89" t="s">
        <v>7297</v>
      </c>
      <c r="K206" s="456" t="s">
        <v>6609</v>
      </c>
    </row>
    <row r="207" spans="1:11" x14ac:dyDescent="0.3">
      <c r="A207" t="s">
        <v>4158</v>
      </c>
      <c r="B207" s="423" t="str">
        <f t="shared" si="7"/>
        <v>Energia elettrica autoprodotta</v>
      </c>
      <c r="C207" t="s">
        <v>3957</v>
      </c>
      <c r="D207" s="470" t="s">
        <v>8217</v>
      </c>
      <c r="E207" s="470" t="s">
        <v>8679</v>
      </c>
      <c r="F207" s="471" t="s">
        <v>7748</v>
      </c>
      <c r="G207" t="s">
        <v>9254</v>
      </c>
      <c r="H207" s="89" t="s">
        <v>6941</v>
      </c>
      <c r="I207" s="89" t="s">
        <v>6255</v>
      </c>
      <c r="J207" s="89" t="s">
        <v>7298</v>
      </c>
      <c r="K207" s="456" t="s">
        <v>6610</v>
      </c>
    </row>
    <row r="208" spans="1:11" s="12" customFormat="1" ht="29.4" thickBot="1" x14ac:dyDescent="0.35">
      <c r="A208" s="12" t="s">
        <v>4159</v>
      </c>
      <c r="B208" s="457" t="str">
        <f t="shared" si="7"/>
        <v>Combustibili (vedere Convertitore di carburante nel foglio Combustibili)</v>
      </c>
      <c r="C208" s="12" t="s">
        <v>3958</v>
      </c>
      <c r="D208" s="478" t="s">
        <v>8218</v>
      </c>
      <c r="E208" s="478" t="s">
        <v>8680</v>
      </c>
      <c r="F208" s="472" t="s">
        <v>7749</v>
      </c>
      <c r="G208" s="12" t="s">
        <v>9255</v>
      </c>
      <c r="H208" s="424" t="s">
        <v>6942</v>
      </c>
      <c r="I208" s="424" t="s">
        <v>6256</v>
      </c>
      <c r="J208" s="424" t="s">
        <v>7299</v>
      </c>
      <c r="K208" s="476" t="s">
        <v>6611</v>
      </c>
    </row>
    <row r="209" spans="1:11" ht="57.6" x14ac:dyDescent="0.3">
      <c r="A209" t="s">
        <v>4160</v>
      </c>
      <c r="B209" s="423" t="str">
        <f t="shared" si="7"/>
        <v>B3 - Emissioni stimate di gas a effetto serra considerando il Greenhouse Gas Protocol versione 2004 (in tCO2e)</v>
      </c>
      <c r="C209" t="s">
        <v>4006</v>
      </c>
      <c r="D209" s="470" t="s">
        <v>8219</v>
      </c>
      <c r="E209" s="470" t="s">
        <v>8681</v>
      </c>
      <c r="F209" s="471" t="s">
        <v>7750</v>
      </c>
      <c r="G209" t="s">
        <v>9256</v>
      </c>
      <c r="H209" s="89" t="s">
        <v>6943</v>
      </c>
      <c r="I209" s="89" t="s">
        <v>6257</v>
      </c>
      <c r="J209" s="89" t="s">
        <v>7300</v>
      </c>
      <c r="K209" s="456" t="s">
        <v>6612</v>
      </c>
    </row>
    <row r="210" spans="1:11" x14ac:dyDescent="0.3">
      <c r="A210" t="s">
        <v>4161</v>
      </c>
      <c r="B210" s="423" t="str">
        <f t="shared" si="7"/>
        <v>C3 - Obiettivi di riduzione delle emissioni di gas a effetto serra (in tCO2e)</v>
      </c>
      <c r="C210" t="s">
        <v>4007</v>
      </c>
      <c r="D210" s="470" t="s">
        <v>8220</v>
      </c>
      <c r="E210" s="470" t="s">
        <v>8578</v>
      </c>
      <c r="F210" s="471" t="s">
        <v>7751</v>
      </c>
      <c r="G210" t="s">
        <v>9257</v>
      </c>
      <c r="H210" s="89" t="s">
        <v>6944</v>
      </c>
      <c r="I210" s="89" t="s">
        <v>6258</v>
      </c>
      <c r="J210" s="89" t="s">
        <v>7301</v>
      </c>
      <c r="K210" s="456" t="s">
        <v>6613</v>
      </c>
    </row>
    <row r="211" spans="1:11" ht="28.8" x14ac:dyDescent="0.3">
      <c r="A211" t="s">
        <v>4162</v>
      </c>
      <c r="B211" s="423" t="str">
        <f t="shared" si="7"/>
        <v>L'impresa ha stabilito obiettivi di riduzione delle emissioni di gas a effetto serra?</v>
      </c>
      <c r="C211" t="s">
        <v>3959</v>
      </c>
      <c r="D211" s="470" t="s">
        <v>8221</v>
      </c>
      <c r="E211" s="470" t="s">
        <v>8682</v>
      </c>
      <c r="F211" s="471" t="s">
        <v>7752</v>
      </c>
      <c r="G211" t="s">
        <v>9258</v>
      </c>
      <c r="H211" s="89" t="s">
        <v>6945</v>
      </c>
      <c r="I211" s="89" t="s">
        <v>6259</v>
      </c>
      <c r="J211" s="89" t="s">
        <v>7302</v>
      </c>
      <c r="K211" s="456" t="s">
        <v>6614</v>
      </c>
    </row>
    <row r="212" spans="1:11" x14ac:dyDescent="0.3">
      <c r="A212" t="s">
        <v>4163</v>
      </c>
      <c r="B212" s="423" t="str">
        <f t="shared" si="7"/>
        <v>Periodo di riferimento corrente</v>
      </c>
      <c r="C212" t="s">
        <v>14</v>
      </c>
      <c r="D212" s="470" t="s">
        <v>8222</v>
      </c>
      <c r="E212" s="470" t="s">
        <v>8683</v>
      </c>
      <c r="F212" s="471" t="s">
        <v>7753</v>
      </c>
      <c r="G212" t="s">
        <v>9259</v>
      </c>
      <c r="H212" s="89" t="s">
        <v>6048</v>
      </c>
      <c r="I212" s="89" t="s">
        <v>5940</v>
      </c>
      <c r="J212" s="89" t="s">
        <v>7303</v>
      </c>
      <c r="K212" s="456" t="s">
        <v>6615</v>
      </c>
    </row>
    <row r="213" spans="1:11" x14ac:dyDescent="0.3">
      <c r="A213" t="s">
        <v>4164</v>
      </c>
      <c r="B213" s="423" t="str">
        <f t="shared" si="7"/>
        <v>Anno base</v>
      </c>
      <c r="C213" t="s">
        <v>3534</v>
      </c>
      <c r="D213" s="470" t="s">
        <v>8223</v>
      </c>
      <c r="E213" s="470" t="s">
        <v>8684</v>
      </c>
      <c r="F213" s="471" t="s">
        <v>7754</v>
      </c>
      <c r="G213" t="s">
        <v>9260</v>
      </c>
      <c r="H213" s="89" t="s">
        <v>6946</v>
      </c>
      <c r="I213" s="89" t="s">
        <v>5941</v>
      </c>
      <c r="J213" s="89" t="s">
        <v>6088</v>
      </c>
      <c r="K213" s="456" t="s">
        <v>6616</v>
      </c>
    </row>
    <row r="214" spans="1:11" x14ac:dyDescent="0.3">
      <c r="A214" t="s">
        <v>4165</v>
      </c>
      <c r="B214" s="423" t="str">
        <f t="shared" si="7"/>
        <v>Anno-obiettivo</v>
      </c>
      <c r="C214" t="s">
        <v>3535</v>
      </c>
      <c r="D214" s="470" t="s">
        <v>8224</v>
      </c>
      <c r="E214" s="470" t="s">
        <v>8685</v>
      </c>
      <c r="F214" s="471" t="s">
        <v>7755</v>
      </c>
      <c r="G214" t="s">
        <v>9261</v>
      </c>
      <c r="H214" s="89" t="s">
        <v>6011</v>
      </c>
      <c r="I214" s="89" t="s">
        <v>5942</v>
      </c>
      <c r="J214" s="89" t="s">
        <v>7304</v>
      </c>
      <c r="K214" s="456" t="s">
        <v>5756</v>
      </c>
    </row>
    <row r="215" spans="1:11" x14ac:dyDescent="0.3">
      <c r="A215" t="s">
        <v>4166</v>
      </c>
      <c r="B215" s="423" t="str">
        <f t="shared" si="7"/>
        <v>Percentuale di riduzione rispetto all'anno base</v>
      </c>
      <c r="C215" t="s">
        <v>3548</v>
      </c>
      <c r="D215" s="470" t="s">
        <v>8225</v>
      </c>
      <c r="E215" s="470" t="s">
        <v>8686</v>
      </c>
      <c r="F215" s="471" t="s">
        <v>7756</v>
      </c>
      <c r="G215" t="s">
        <v>9262</v>
      </c>
      <c r="H215" s="89" t="s">
        <v>6947</v>
      </c>
      <c r="I215" s="89" t="s">
        <v>6260</v>
      </c>
      <c r="J215" s="89" t="s">
        <v>7305</v>
      </c>
      <c r="K215" s="456" t="s">
        <v>6617</v>
      </c>
    </row>
    <row r="216" spans="1:11" x14ac:dyDescent="0.3">
      <c r="A216" t="s">
        <v>4167</v>
      </c>
      <c r="B216" s="423" t="str">
        <f t="shared" si="7"/>
        <v>Anno (data)</v>
      </c>
      <c r="C216" t="s">
        <v>2914</v>
      </c>
      <c r="D216" s="470" t="s">
        <v>8226</v>
      </c>
      <c r="E216" s="470" t="s">
        <v>8687</v>
      </c>
      <c r="F216" s="471" t="s">
        <v>7757</v>
      </c>
      <c r="G216" t="s">
        <v>9263</v>
      </c>
      <c r="H216" s="89" t="s">
        <v>6012</v>
      </c>
      <c r="I216" s="89" t="s">
        <v>5943</v>
      </c>
      <c r="J216" s="89" t="s">
        <v>5857</v>
      </c>
      <c r="K216" s="456" t="s">
        <v>5757</v>
      </c>
    </row>
    <row r="217" spans="1:11" x14ac:dyDescent="0.3">
      <c r="A217" t="s">
        <v>4168</v>
      </c>
      <c r="B217" s="423" t="str">
        <f t="shared" si="7"/>
        <v>Emissioni lorde di gas a effetto serra di ambito 1</v>
      </c>
      <c r="C217" t="s">
        <v>3536</v>
      </c>
      <c r="D217" s="470" t="s">
        <v>8227</v>
      </c>
      <c r="E217" s="470" t="s">
        <v>8688</v>
      </c>
      <c r="F217" s="471" t="s">
        <v>7758</v>
      </c>
      <c r="G217" t="s">
        <v>9264</v>
      </c>
      <c r="H217" s="89" t="s">
        <v>6948</v>
      </c>
      <c r="I217" s="89" t="s">
        <v>6261</v>
      </c>
      <c r="J217" s="89" t="s">
        <v>7306</v>
      </c>
      <c r="K217" s="456" t="s">
        <v>6618</v>
      </c>
    </row>
    <row r="218" spans="1:11" ht="28.8" x14ac:dyDescent="0.3">
      <c r="A218" t="s">
        <v>4169</v>
      </c>
      <c r="B218" s="423" t="str">
        <f t="shared" si="7"/>
        <v>Emissioni lorde di gas a effetto serra di ambito 2 basate sulla posizione</v>
      </c>
      <c r="C218" t="s">
        <v>3537</v>
      </c>
      <c r="D218" s="470" t="s">
        <v>8228</v>
      </c>
      <c r="E218" s="470" t="s">
        <v>8689</v>
      </c>
      <c r="F218" s="471" t="s">
        <v>7759</v>
      </c>
      <c r="G218" t="s">
        <v>9265</v>
      </c>
      <c r="H218" s="89" t="s">
        <v>6949</v>
      </c>
      <c r="I218" s="89" t="s">
        <v>6262</v>
      </c>
      <c r="J218" s="89" t="s">
        <v>7307</v>
      </c>
      <c r="K218" s="456" t="s">
        <v>5758</v>
      </c>
    </row>
    <row r="219" spans="1:11" ht="28.8" x14ac:dyDescent="0.3">
      <c r="A219" t="s">
        <v>4170</v>
      </c>
      <c r="B219" s="423" t="str">
        <f t="shared" si="7"/>
        <v>Emissioni lorde di gas a effetto serra di ambito 2 basate sul mercato</v>
      </c>
      <c r="C219" t="s">
        <v>3994</v>
      </c>
      <c r="D219" s="470" t="s">
        <v>8229</v>
      </c>
      <c r="E219" s="470" t="s">
        <v>8690</v>
      </c>
      <c r="F219" s="471" t="s">
        <v>7760</v>
      </c>
      <c r="G219" t="s">
        <v>9266</v>
      </c>
      <c r="H219" s="89" t="s">
        <v>6950</v>
      </c>
      <c r="I219" s="89" t="s">
        <v>6263</v>
      </c>
      <c r="J219" s="89" t="s">
        <v>7308</v>
      </c>
      <c r="K219" s="456" t="s">
        <v>6619</v>
      </c>
    </row>
    <row r="220" spans="1:11" ht="28.8" x14ac:dyDescent="0.3">
      <c r="A220" t="s">
        <v>4171</v>
      </c>
      <c r="B220" s="423" t="str">
        <f t="shared" si="7"/>
        <v>Emissioni totali di gas a effetto serra di ambito 1 e ambito 2 (basate sulla posizione)</v>
      </c>
      <c r="C220" t="s">
        <v>3538</v>
      </c>
      <c r="D220" s="470" t="s">
        <v>8230</v>
      </c>
      <c r="E220" s="470" t="s">
        <v>8691</v>
      </c>
      <c r="F220" s="471" t="s">
        <v>7761</v>
      </c>
      <c r="G220" t="s">
        <v>9267</v>
      </c>
      <c r="H220" s="89" t="s">
        <v>6951</v>
      </c>
      <c r="I220" s="89" t="s">
        <v>6264</v>
      </c>
      <c r="J220" s="89" t="s">
        <v>7309</v>
      </c>
      <c r="K220" s="456" t="s">
        <v>6620</v>
      </c>
    </row>
    <row r="221" spans="1:11" ht="28.8" x14ac:dyDescent="0.3">
      <c r="A221" t="s">
        <v>4172</v>
      </c>
      <c r="B221" s="423" t="str">
        <f t="shared" si="7"/>
        <v>Emissioni totali di gas a effetto serra di ambito 1 e ambito 2 (basate sul mercato)</v>
      </c>
      <c r="C221" t="s">
        <v>4008</v>
      </c>
      <c r="D221" s="470" t="s">
        <v>8231</v>
      </c>
      <c r="E221" s="470" t="s">
        <v>8692</v>
      </c>
      <c r="F221" s="471" t="s">
        <v>7762</v>
      </c>
      <c r="G221" t="s">
        <v>9268</v>
      </c>
      <c r="H221" s="89" t="s">
        <v>6951</v>
      </c>
      <c r="I221" s="89" t="s">
        <v>6265</v>
      </c>
      <c r="J221" s="89" t="s">
        <v>7310</v>
      </c>
      <c r="K221" s="456" t="s">
        <v>6621</v>
      </c>
    </row>
    <row r="222" spans="1:11" ht="28.8" x14ac:dyDescent="0.3">
      <c r="A222" t="s">
        <v>4173</v>
      </c>
      <c r="B222" s="423" t="str">
        <f t="shared" si="7"/>
        <v>L'impresa comunica informazioni specifiche per soggetto sulle emissioni di ambito 3 (in tCO2e)?</v>
      </c>
      <c r="C222" t="s">
        <v>3678</v>
      </c>
      <c r="D222" s="470" t="s">
        <v>8232</v>
      </c>
      <c r="E222" s="470" t="s">
        <v>8693</v>
      </c>
      <c r="F222" s="471" t="s">
        <v>7763</v>
      </c>
      <c r="G222" t="s">
        <v>9269</v>
      </c>
      <c r="H222" s="89" t="s">
        <v>6952</v>
      </c>
      <c r="I222" s="89" t="s">
        <v>6266</v>
      </c>
      <c r="J222" s="89" t="s">
        <v>7311</v>
      </c>
      <c r="K222" s="456" t="s">
        <v>6486</v>
      </c>
    </row>
    <row r="223" spans="1:11" x14ac:dyDescent="0.3">
      <c r="A223" t="s">
        <v>4174</v>
      </c>
      <c r="B223" s="423" t="str">
        <f t="shared" si="7"/>
        <v>1. Beni e servizi acquistati</v>
      </c>
      <c r="C223" t="s">
        <v>3960</v>
      </c>
      <c r="D223" s="470" t="s">
        <v>8233</v>
      </c>
      <c r="E223" s="470" t="s">
        <v>8694</v>
      </c>
      <c r="F223" s="471" t="s">
        <v>7764</v>
      </c>
      <c r="G223" t="s">
        <v>9270</v>
      </c>
      <c r="H223" s="89" t="s">
        <v>6953</v>
      </c>
      <c r="I223" s="89" t="s">
        <v>5944</v>
      </c>
      <c r="J223" s="89" t="s">
        <v>6089</v>
      </c>
      <c r="K223" s="456" t="s">
        <v>5759</v>
      </c>
    </row>
    <row r="224" spans="1:11" x14ac:dyDescent="0.3">
      <c r="A224" t="s">
        <v>4175</v>
      </c>
      <c r="B224" s="423" t="str">
        <f t="shared" si="7"/>
        <v>2. Beni strumentali</v>
      </c>
      <c r="C224" t="s">
        <v>3961</v>
      </c>
      <c r="D224" s="470" t="s">
        <v>8234</v>
      </c>
      <c r="E224" s="470" t="s">
        <v>8695</v>
      </c>
      <c r="F224" s="471" t="s">
        <v>7765</v>
      </c>
      <c r="G224" t="s">
        <v>9271</v>
      </c>
      <c r="H224" s="89" t="s">
        <v>6954</v>
      </c>
      <c r="I224" s="89" t="s">
        <v>5945</v>
      </c>
      <c r="J224" s="89" t="s">
        <v>7312</v>
      </c>
      <c r="K224" s="456" t="s">
        <v>5760</v>
      </c>
    </row>
    <row r="225" spans="1:11" ht="28.8" x14ac:dyDescent="0.3">
      <c r="A225" t="s">
        <v>4176</v>
      </c>
      <c r="B225" s="423" t="str">
        <f t="shared" si="7"/>
        <v>3. Attività legate ai combustibili e all'energia (non incluse nell'ambito 1 o ambito 2)</v>
      </c>
      <c r="C225" t="s">
        <v>3562</v>
      </c>
      <c r="D225" s="470" t="s">
        <v>8235</v>
      </c>
      <c r="E225" s="470" t="s">
        <v>8696</v>
      </c>
      <c r="F225" s="471" t="s">
        <v>7766</v>
      </c>
      <c r="G225" t="s">
        <v>9272</v>
      </c>
      <c r="H225" s="89" t="s">
        <v>6955</v>
      </c>
      <c r="I225" s="89" t="s">
        <v>6267</v>
      </c>
      <c r="J225" s="89" t="s">
        <v>7313</v>
      </c>
      <c r="K225" s="456" t="s">
        <v>6622</v>
      </c>
    </row>
    <row r="226" spans="1:11" x14ac:dyDescent="0.3">
      <c r="A226" t="s">
        <v>4177</v>
      </c>
      <c r="B226" s="423" t="str">
        <f t="shared" si="7"/>
        <v>4. Trasporto e distribuzione a monte</v>
      </c>
      <c r="C226" t="s">
        <v>3962</v>
      </c>
      <c r="D226" s="470" t="s">
        <v>8236</v>
      </c>
      <c r="E226" s="470" t="s">
        <v>8697</v>
      </c>
      <c r="F226" s="471" t="s">
        <v>7767</v>
      </c>
      <c r="G226" t="s">
        <v>9273</v>
      </c>
      <c r="H226" s="89" t="s">
        <v>6956</v>
      </c>
      <c r="I226" s="89" t="s">
        <v>6268</v>
      </c>
      <c r="J226" s="89" t="s">
        <v>5858</v>
      </c>
      <c r="K226" s="456" t="s">
        <v>5761</v>
      </c>
    </row>
    <row r="227" spans="1:11" x14ac:dyDescent="0.3">
      <c r="A227" t="s">
        <v>4178</v>
      </c>
      <c r="B227" s="423" t="str">
        <f t="shared" si="7"/>
        <v>5. Rifiuti generati nel corso delle operazioni</v>
      </c>
      <c r="C227" t="s">
        <v>3963</v>
      </c>
      <c r="D227" s="470" t="s">
        <v>8237</v>
      </c>
      <c r="E227" s="470" t="s">
        <v>8698</v>
      </c>
      <c r="F227" s="471" t="s">
        <v>7768</v>
      </c>
      <c r="G227" t="s">
        <v>9274</v>
      </c>
      <c r="H227" s="89" t="s">
        <v>6957</v>
      </c>
      <c r="I227" s="89" t="s">
        <v>6269</v>
      </c>
      <c r="J227" s="89" t="s">
        <v>7314</v>
      </c>
      <c r="K227" s="456" t="s">
        <v>5762</v>
      </c>
    </row>
    <row r="228" spans="1:11" x14ac:dyDescent="0.3">
      <c r="A228" t="s">
        <v>4179</v>
      </c>
      <c r="B228" s="423" t="str">
        <f t="shared" si="7"/>
        <v>6. Viaggi d'affari</v>
      </c>
      <c r="C228" t="s">
        <v>3964</v>
      </c>
      <c r="D228" s="470" t="s">
        <v>8238</v>
      </c>
      <c r="E228" s="470" t="s">
        <v>8699</v>
      </c>
      <c r="F228" s="471" t="s">
        <v>7769</v>
      </c>
      <c r="G228" t="s">
        <v>9275</v>
      </c>
      <c r="H228" s="89" t="s">
        <v>6013</v>
      </c>
      <c r="I228" s="89" t="s">
        <v>5946</v>
      </c>
      <c r="J228" s="89" t="s">
        <v>7315</v>
      </c>
      <c r="K228" s="456" t="s">
        <v>5763</v>
      </c>
    </row>
    <row r="229" spans="1:11" x14ac:dyDescent="0.3">
      <c r="A229" t="s">
        <v>4180</v>
      </c>
      <c r="B229" s="423" t="str">
        <f t="shared" si="7"/>
        <v>7. Pendolarismo dei dipendenti</v>
      </c>
      <c r="C229" t="s">
        <v>3965</v>
      </c>
      <c r="D229" s="470" t="s">
        <v>8239</v>
      </c>
      <c r="E229" s="470" t="s">
        <v>8700</v>
      </c>
      <c r="F229" s="471" t="s">
        <v>7770</v>
      </c>
      <c r="G229" t="s">
        <v>9276</v>
      </c>
      <c r="H229" s="89" t="s">
        <v>6958</v>
      </c>
      <c r="I229" s="89" t="s">
        <v>5947</v>
      </c>
      <c r="J229" s="89" t="s">
        <v>7316</v>
      </c>
      <c r="K229" s="456" t="s">
        <v>6623</v>
      </c>
    </row>
    <row r="230" spans="1:11" x14ac:dyDescent="0.3">
      <c r="A230" t="s">
        <v>4181</v>
      </c>
      <c r="B230" s="423" t="str">
        <f t="shared" si="7"/>
        <v>8. Attivi in leasing a monte</v>
      </c>
      <c r="C230" t="s">
        <v>3966</v>
      </c>
      <c r="D230" s="470" t="s">
        <v>8240</v>
      </c>
      <c r="E230" s="470" t="s">
        <v>8701</v>
      </c>
      <c r="F230" s="471" t="s">
        <v>7771</v>
      </c>
      <c r="G230" t="s">
        <v>9277</v>
      </c>
      <c r="H230" s="89" t="s">
        <v>6959</v>
      </c>
      <c r="I230" s="89" t="s">
        <v>6270</v>
      </c>
      <c r="J230" s="89" t="s">
        <v>7317</v>
      </c>
      <c r="K230" s="456" t="s">
        <v>6487</v>
      </c>
    </row>
    <row r="231" spans="1:11" x14ac:dyDescent="0.3">
      <c r="A231" t="s">
        <v>4182</v>
      </c>
      <c r="B231" s="423" t="str">
        <f t="shared" si="7"/>
        <v>9. Trasporto a valle</v>
      </c>
      <c r="C231" t="s">
        <v>3967</v>
      </c>
      <c r="D231" s="470" t="s">
        <v>8241</v>
      </c>
      <c r="E231" s="470" t="s">
        <v>8702</v>
      </c>
      <c r="F231" s="471" t="s">
        <v>7772</v>
      </c>
      <c r="G231" t="s">
        <v>9278</v>
      </c>
      <c r="H231" s="89" t="s">
        <v>6960</v>
      </c>
      <c r="I231" s="89" t="s">
        <v>6271</v>
      </c>
      <c r="J231" s="89" t="s">
        <v>7318</v>
      </c>
      <c r="K231" s="456" t="s">
        <v>5764</v>
      </c>
    </row>
    <row r="232" spans="1:11" x14ac:dyDescent="0.3">
      <c r="A232" t="s">
        <v>4183</v>
      </c>
      <c r="B232" s="423" t="str">
        <f t="shared" si="7"/>
        <v>10. Trasformazione dei prodotti venduti</v>
      </c>
      <c r="C232" t="s">
        <v>3968</v>
      </c>
      <c r="D232" s="470" t="s">
        <v>8242</v>
      </c>
      <c r="E232" s="470" t="s">
        <v>8703</v>
      </c>
      <c r="F232" s="471" t="s">
        <v>7773</v>
      </c>
      <c r="G232" t="s">
        <v>9279</v>
      </c>
      <c r="H232" s="89" t="s">
        <v>6961</v>
      </c>
      <c r="I232" s="89" t="s">
        <v>5948</v>
      </c>
      <c r="J232" s="89" t="s">
        <v>7509</v>
      </c>
      <c r="K232" s="456" t="s">
        <v>5765</v>
      </c>
    </row>
    <row r="233" spans="1:11" x14ac:dyDescent="0.3">
      <c r="A233" t="s">
        <v>4184</v>
      </c>
      <c r="B233" s="423" t="str">
        <f t="shared" si="7"/>
        <v>11. Uso dei prodotti venduti</v>
      </c>
      <c r="C233" t="s">
        <v>3969</v>
      </c>
      <c r="D233" s="470" t="s">
        <v>8243</v>
      </c>
      <c r="E233" s="470" t="s">
        <v>8704</v>
      </c>
      <c r="F233" s="471" t="s">
        <v>7774</v>
      </c>
      <c r="G233" t="s">
        <v>9280</v>
      </c>
      <c r="H233" s="89" t="s">
        <v>6962</v>
      </c>
      <c r="I233" s="89" t="s">
        <v>6272</v>
      </c>
      <c r="J233" s="89" t="s">
        <v>5859</v>
      </c>
      <c r="K233" s="456" t="s">
        <v>6624</v>
      </c>
    </row>
    <row r="234" spans="1:11" ht="28.8" x14ac:dyDescent="0.3">
      <c r="A234" t="s">
        <v>4185</v>
      </c>
      <c r="B234" s="423" t="str">
        <f t="shared" si="7"/>
        <v>12. Trattamento di fine vita dei prodotti venduti</v>
      </c>
      <c r="C234" t="s">
        <v>3970</v>
      </c>
      <c r="D234" s="470" t="s">
        <v>8244</v>
      </c>
      <c r="E234" s="470" t="s">
        <v>8705</v>
      </c>
      <c r="F234" s="471" t="s">
        <v>7775</v>
      </c>
      <c r="G234" t="s">
        <v>9281</v>
      </c>
      <c r="H234" s="89" t="s">
        <v>6963</v>
      </c>
      <c r="I234" s="89" t="s">
        <v>6273</v>
      </c>
      <c r="J234" s="89" t="s">
        <v>7510</v>
      </c>
      <c r="K234" s="456" t="s">
        <v>5766</v>
      </c>
    </row>
    <row r="235" spans="1:11" x14ac:dyDescent="0.3">
      <c r="A235" t="s">
        <v>4186</v>
      </c>
      <c r="B235" s="423" t="str">
        <f t="shared" si="7"/>
        <v>13. Attivi in leasing a valle</v>
      </c>
      <c r="C235" t="s">
        <v>3971</v>
      </c>
      <c r="D235" s="470" t="s">
        <v>8245</v>
      </c>
      <c r="E235" s="470" t="s">
        <v>8706</v>
      </c>
      <c r="F235" s="471" t="s">
        <v>7776</v>
      </c>
      <c r="G235" t="s">
        <v>9282</v>
      </c>
      <c r="H235" s="89" t="s">
        <v>6964</v>
      </c>
      <c r="I235" s="89" t="s">
        <v>6274</v>
      </c>
      <c r="J235" s="89" t="s">
        <v>7319</v>
      </c>
      <c r="K235" s="456" t="s">
        <v>5767</v>
      </c>
    </row>
    <row r="236" spans="1:11" x14ac:dyDescent="0.3">
      <c r="A236" t="s">
        <v>4187</v>
      </c>
      <c r="B236" s="423" t="str">
        <f t="shared" si="7"/>
        <v>14. Franchising</v>
      </c>
      <c r="C236" t="s">
        <v>3972</v>
      </c>
      <c r="D236" s="470" t="s">
        <v>8246</v>
      </c>
      <c r="E236" s="470" t="s">
        <v>3972</v>
      </c>
      <c r="F236" s="471" t="s">
        <v>3972</v>
      </c>
      <c r="G236" t="s">
        <v>9283</v>
      </c>
      <c r="H236" s="89" t="s">
        <v>6014</v>
      </c>
      <c r="I236" s="89" t="s">
        <v>6070</v>
      </c>
      <c r="J236" s="89" t="s">
        <v>6090</v>
      </c>
      <c r="K236" s="456" t="s">
        <v>5768</v>
      </c>
    </row>
    <row r="237" spans="1:11" x14ac:dyDescent="0.3">
      <c r="A237" t="s">
        <v>4188</v>
      </c>
      <c r="B237" s="423" t="str">
        <f t="shared" si="7"/>
        <v>15. Investimenti</v>
      </c>
      <c r="C237" t="s">
        <v>3551</v>
      </c>
      <c r="D237" s="470" t="s">
        <v>8247</v>
      </c>
      <c r="E237" s="470" t="s">
        <v>8707</v>
      </c>
      <c r="F237" s="471" t="s">
        <v>7777</v>
      </c>
      <c r="G237" t="s">
        <v>9284</v>
      </c>
      <c r="H237" s="89" t="s">
        <v>6965</v>
      </c>
      <c r="I237" s="89" t="s">
        <v>6071</v>
      </c>
      <c r="J237" s="89" t="s">
        <v>5860</v>
      </c>
      <c r="K237" s="456" t="s">
        <v>5769</v>
      </c>
    </row>
    <row r="238" spans="1:11" x14ac:dyDescent="0.3">
      <c r="A238" t="s">
        <v>4189</v>
      </c>
      <c r="B238" s="423" t="str">
        <f t="shared" si="7"/>
        <v>Emissioni totali di gas a effetto serra di ambito 3</v>
      </c>
      <c r="C238" t="s">
        <v>3576</v>
      </c>
      <c r="D238" s="470" t="s">
        <v>8248</v>
      </c>
      <c r="E238" s="470" t="s">
        <v>8708</v>
      </c>
      <c r="F238" s="471" t="s">
        <v>7778</v>
      </c>
      <c r="G238" t="s">
        <v>9285</v>
      </c>
      <c r="H238" s="89" t="s">
        <v>6966</v>
      </c>
      <c r="I238" s="89" t="s">
        <v>6275</v>
      </c>
      <c r="J238" s="89" t="s">
        <v>7320</v>
      </c>
      <c r="K238" s="456" t="s">
        <v>6625</v>
      </c>
    </row>
    <row r="239" spans="1:11" ht="28.8" x14ac:dyDescent="0.3">
      <c r="A239" t="s">
        <v>4190</v>
      </c>
      <c r="B239" s="423" t="str">
        <f t="shared" si="7"/>
        <v>Emissioni totali di gas a effetto serra di ambito 1, ambito 2 e ambito 3 (basate sulla posizione)</v>
      </c>
      <c r="C239" t="s">
        <v>4033</v>
      </c>
      <c r="D239" s="470" t="s">
        <v>8249</v>
      </c>
      <c r="E239" s="470" t="s">
        <v>8709</v>
      </c>
      <c r="F239" s="471" t="s">
        <v>7779</v>
      </c>
      <c r="G239" t="s">
        <v>9286</v>
      </c>
      <c r="H239" s="89" t="s">
        <v>6967</v>
      </c>
      <c r="I239" s="89" t="s">
        <v>6276</v>
      </c>
      <c r="J239" s="89" t="s">
        <v>7321</v>
      </c>
      <c r="K239" s="456" t="s">
        <v>6626</v>
      </c>
    </row>
    <row r="240" spans="1:11" s="12" customFormat="1" ht="29.4" thickBot="1" x14ac:dyDescent="0.35">
      <c r="A240" s="12" t="s">
        <v>4191</v>
      </c>
      <c r="B240" s="457" t="str">
        <f t="shared" si="7"/>
        <v>Emissioni totali di gas a effetto serra di ambito 1, ambito 2 e ambito 3 (basate sul mercato)</v>
      </c>
      <c r="C240" s="12" t="s">
        <v>4034</v>
      </c>
      <c r="D240" s="478" t="s">
        <v>8250</v>
      </c>
      <c r="E240" s="478" t="s">
        <v>8710</v>
      </c>
      <c r="F240" s="472" t="s">
        <v>7780</v>
      </c>
      <c r="G240" s="12" t="s">
        <v>9287</v>
      </c>
      <c r="H240" s="424" t="s">
        <v>6968</v>
      </c>
      <c r="I240" s="424" t="s">
        <v>6277</v>
      </c>
      <c r="J240" s="424" t="s">
        <v>7322</v>
      </c>
      <c r="K240" s="476" t="s">
        <v>6627</v>
      </c>
    </row>
    <row r="241" spans="1:11" ht="43.2" x14ac:dyDescent="0.3">
      <c r="A241" t="s">
        <v>4192</v>
      </c>
      <c r="B241" s="423" t="str">
        <f t="shared" si="7"/>
        <v>C3 - Comunicazione dell'elenco delle principali azioni che l'impresa intende attuare per raggiungere i propri obiettivi</v>
      </c>
      <c r="C241" t="s">
        <v>4009</v>
      </c>
      <c r="D241" s="470" t="s">
        <v>8251</v>
      </c>
      <c r="E241" s="470" t="s">
        <v>8711</v>
      </c>
      <c r="F241" s="471" t="s">
        <v>7781</v>
      </c>
      <c r="G241" t="s">
        <v>9288</v>
      </c>
      <c r="H241" s="89" t="s">
        <v>6969</v>
      </c>
      <c r="I241" s="89" t="s">
        <v>6278</v>
      </c>
      <c r="J241" s="89" t="s">
        <v>7323</v>
      </c>
      <c r="K241" s="456" t="s">
        <v>6628</v>
      </c>
    </row>
    <row r="242" spans="1:11" ht="28.8" x14ac:dyDescent="0.3">
      <c r="A242" t="s">
        <v>4193</v>
      </c>
      <c r="B242" s="423" t="str">
        <f t="shared" si="7"/>
        <v>C3 - Piano di transizione per le imprese che operano in settori ad alto impatto climatico</v>
      </c>
      <c r="C242" t="s">
        <v>4010</v>
      </c>
      <c r="D242" s="470" t="s">
        <v>8252</v>
      </c>
      <c r="E242" s="470" t="s">
        <v>8712</v>
      </c>
      <c r="F242" s="471" t="s">
        <v>7782</v>
      </c>
      <c r="G242" t="s">
        <v>9289</v>
      </c>
      <c r="H242" s="89" t="s">
        <v>6970</v>
      </c>
      <c r="I242" s="89" t="s">
        <v>6279</v>
      </c>
      <c r="J242" s="89" t="s">
        <v>7324</v>
      </c>
      <c r="K242" s="456" t="s">
        <v>6629</v>
      </c>
    </row>
    <row r="243" spans="1:11" ht="28.8" x14ac:dyDescent="0.3">
      <c r="A243" t="s">
        <v>4194</v>
      </c>
      <c r="B243" s="423" t="str">
        <f t="shared" si="7"/>
        <v>L'impresa opera in settori ad alto impatto?</v>
      </c>
      <c r="C243" t="s">
        <v>3973</v>
      </c>
      <c r="D243" s="470" t="s">
        <v>8253</v>
      </c>
      <c r="E243" s="470" t="s">
        <v>8713</v>
      </c>
      <c r="F243" s="471" t="s">
        <v>7783</v>
      </c>
      <c r="G243" t="s">
        <v>9290</v>
      </c>
      <c r="H243" s="89" t="s">
        <v>6971</v>
      </c>
      <c r="I243" s="89" t="s">
        <v>6280</v>
      </c>
      <c r="J243" s="89" t="s">
        <v>7325</v>
      </c>
      <c r="K243" s="456" t="s">
        <v>5770</v>
      </c>
    </row>
    <row r="244" spans="1:11" ht="28.8" x14ac:dyDescent="0.3">
      <c r="A244" t="s">
        <v>4195</v>
      </c>
      <c r="B244" s="423" t="str">
        <f t="shared" si="7"/>
        <v>Stato di attuazione di un piano di transizione per la mitigazione dei cambiamenti climatici</v>
      </c>
      <c r="C244" t="s">
        <v>3974</v>
      </c>
      <c r="D244" s="470" t="s">
        <v>8254</v>
      </c>
      <c r="E244" s="470" t="s">
        <v>8714</v>
      </c>
      <c r="F244" s="471" t="s">
        <v>7784</v>
      </c>
      <c r="G244" t="s">
        <v>9291</v>
      </c>
      <c r="H244" s="89" t="s">
        <v>6972</v>
      </c>
      <c r="I244" s="89" t="s">
        <v>6281</v>
      </c>
      <c r="J244" s="89" t="s">
        <v>7326</v>
      </c>
      <c r="K244" s="456" t="s">
        <v>6630</v>
      </c>
    </row>
    <row r="245" spans="1:11" ht="57.6" x14ac:dyDescent="0.3">
      <c r="A245" t="s">
        <v>4196</v>
      </c>
      <c r="B245" s="423" t="str">
        <f t="shared" si="7"/>
        <v>Descrizione di un piano di transizione per la mitigazione dei cambiamenti climatici, comprensa una spiegazione del modo in cui il piano sta contribuendo a ridurre le emissioni di gas a effetto serra.</v>
      </c>
      <c r="C245" t="s">
        <v>4035</v>
      </c>
      <c r="D245" s="470" t="s">
        <v>8255</v>
      </c>
      <c r="E245" s="470" t="s">
        <v>8715</v>
      </c>
      <c r="F245" s="471" t="s">
        <v>7785</v>
      </c>
      <c r="G245" t="s">
        <v>9292</v>
      </c>
      <c r="H245" s="89" t="s">
        <v>6973</v>
      </c>
      <c r="I245" s="89" t="s">
        <v>6282</v>
      </c>
      <c r="J245" s="89" t="s">
        <v>7327</v>
      </c>
      <c r="K245" s="456" t="s">
        <v>6631</v>
      </c>
    </row>
    <row r="246" spans="1:11" ht="43.2" x14ac:dyDescent="0.3">
      <c r="A246" t="s">
        <v>4197</v>
      </c>
      <c r="B246" s="423" t="str">
        <f t="shared" si="7"/>
        <v>Data prevista per l'adozione del piano di transizione per l'impresa che non ha ancora adottato un piano di transizione</v>
      </c>
      <c r="C246" t="s">
        <v>3542</v>
      </c>
      <c r="D246" s="470" t="s">
        <v>8256</v>
      </c>
      <c r="E246" s="470" t="s">
        <v>8716</v>
      </c>
      <c r="F246" s="471" t="s">
        <v>7786</v>
      </c>
      <c r="G246" t="s">
        <v>9293</v>
      </c>
      <c r="H246" s="89" t="s">
        <v>6974</v>
      </c>
      <c r="I246" s="89" t="s">
        <v>6283</v>
      </c>
      <c r="J246" s="89" t="s">
        <v>7328</v>
      </c>
      <c r="K246" s="456" t="s">
        <v>6632</v>
      </c>
    </row>
    <row r="247" spans="1:11" x14ac:dyDescent="0.3">
      <c r="A247" t="s">
        <v>4198</v>
      </c>
      <c r="B247" s="423" t="str">
        <f t="shared" si="7"/>
        <v>Anno</v>
      </c>
      <c r="C247" t="s">
        <v>3025</v>
      </c>
      <c r="D247" s="470" t="s">
        <v>8257</v>
      </c>
      <c r="E247" s="470" t="s">
        <v>8717</v>
      </c>
      <c r="F247" s="471" t="s">
        <v>7787</v>
      </c>
      <c r="G247" t="s">
        <v>9294</v>
      </c>
      <c r="H247" s="89" t="s">
        <v>6057</v>
      </c>
      <c r="I247" s="89" t="s">
        <v>5690</v>
      </c>
      <c r="J247" s="89" t="s">
        <v>5861</v>
      </c>
      <c r="K247" s="456" t="s">
        <v>5771</v>
      </c>
    </row>
    <row r="248" spans="1:11" x14ac:dyDescent="0.3">
      <c r="A248" t="s">
        <v>4199</v>
      </c>
      <c r="B248" s="423" t="str">
        <f t="shared" si="7"/>
        <v>Mese</v>
      </c>
      <c r="C248" t="s">
        <v>3026</v>
      </c>
      <c r="D248" s="470" t="s">
        <v>8258</v>
      </c>
      <c r="E248" s="470" t="s">
        <v>8718</v>
      </c>
      <c r="F248" s="471" t="s">
        <v>7788</v>
      </c>
      <c r="G248" t="s">
        <v>9295</v>
      </c>
      <c r="H248" s="89" t="s">
        <v>6015</v>
      </c>
      <c r="I248" s="89" t="s">
        <v>5949</v>
      </c>
      <c r="J248" s="89" t="s">
        <v>6091</v>
      </c>
      <c r="K248" s="456" t="s">
        <v>5772</v>
      </c>
    </row>
    <row r="249" spans="1:11" x14ac:dyDescent="0.3">
      <c r="A249" t="s">
        <v>4200</v>
      </c>
      <c r="B249" s="423" t="str">
        <f t="shared" si="7"/>
        <v>Giorno</v>
      </c>
      <c r="C249" t="s">
        <v>3776</v>
      </c>
      <c r="D249" s="470" t="s">
        <v>8259</v>
      </c>
      <c r="E249" s="470" t="s">
        <v>8719</v>
      </c>
      <c r="F249" s="471" t="s">
        <v>7789</v>
      </c>
      <c r="G249" t="s">
        <v>9296</v>
      </c>
      <c r="H249" s="89" t="s">
        <v>6047</v>
      </c>
      <c r="I249" s="89" t="s">
        <v>5950</v>
      </c>
      <c r="J249" s="89" t="s">
        <v>5862</v>
      </c>
      <c r="K249" s="456" t="s">
        <v>5773</v>
      </c>
    </row>
    <row r="250" spans="1:11" ht="28.8" x14ac:dyDescent="0.3">
      <c r="A250" t="s">
        <v>4201</v>
      </c>
      <c r="B250" s="423" t="str">
        <f t="shared" si="7"/>
        <v>B3 - Intensità delle emissioni di gas a effetto serra per ricavi delle vendite e delle prestazioni (in tCO2e)</v>
      </c>
      <c r="C250" t="s">
        <v>4011</v>
      </c>
      <c r="D250" s="470" t="s">
        <v>8260</v>
      </c>
      <c r="E250" s="470" t="s">
        <v>8720</v>
      </c>
      <c r="F250" s="471" t="s">
        <v>7790</v>
      </c>
      <c r="G250" t="s">
        <v>9297</v>
      </c>
      <c r="H250" s="89" t="s">
        <v>6975</v>
      </c>
      <c r="I250" s="89" t="s">
        <v>6284</v>
      </c>
      <c r="J250" s="89" t="s">
        <v>7329</v>
      </c>
      <c r="K250" s="456" t="s">
        <v>6633</v>
      </c>
    </row>
    <row r="251" spans="1:11" ht="28.8" x14ac:dyDescent="0.3">
      <c r="A251" t="s">
        <v>4202</v>
      </c>
      <c r="B251" s="423" t="str">
        <f t="shared" si="7"/>
        <v>Intensità delle emissioni di gas a effetto serra di ambito 1 e ambito 2 (basate sulla posizione)</v>
      </c>
      <c r="C251" t="s">
        <v>4012</v>
      </c>
      <c r="D251" s="470" t="s">
        <v>8261</v>
      </c>
      <c r="E251" s="470" t="s">
        <v>8721</v>
      </c>
      <c r="F251" s="471" t="s">
        <v>7791</v>
      </c>
      <c r="G251" t="s">
        <v>9298</v>
      </c>
      <c r="H251" s="89" t="s">
        <v>6976</v>
      </c>
      <c r="I251" s="89" t="s">
        <v>6285</v>
      </c>
      <c r="J251" s="89" t="s">
        <v>7330</v>
      </c>
      <c r="K251" s="456" t="s">
        <v>6634</v>
      </c>
    </row>
    <row r="252" spans="1:11" ht="28.8" x14ac:dyDescent="0.3">
      <c r="A252" t="s">
        <v>4203</v>
      </c>
      <c r="B252" s="423" t="str">
        <f t="shared" si="7"/>
        <v>Intensità delle emissioni di gas a effetto serra di ambito 1 e ambito 2 (basate sul mercato)</v>
      </c>
      <c r="C252" t="s">
        <v>4013</v>
      </c>
      <c r="D252" s="470" t="s">
        <v>8262</v>
      </c>
      <c r="E252" s="470" t="s">
        <v>8722</v>
      </c>
      <c r="F252" s="471" t="s">
        <v>7792</v>
      </c>
      <c r="G252" t="s">
        <v>9299</v>
      </c>
      <c r="H252" s="89" t="s">
        <v>6977</v>
      </c>
      <c r="I252" s="89" t="s">
        <v>6286</v>
      </c>
      <c r="J252" s="89" t="s">
        <v>7331</v>
      </c>
      <c r="K252" s="456" t="s">
        <v>6635</v>
      </c>
    </row>
    <row r="253" spans="1:11" ht="28.8" x14ac:dyDescent="0.3">
      <c r="A253" t="s">
        <v>4204</v>
      </c>
      <c r="B253" s="423" t="str">
        <f t="shared" si="7"/>
        <v>Intensità totale delle emissioni di gas a effetto serra di ambito 1, ambito 2 e ambito 3 (basate sulla posizione)</v>
      </c>
      <c r="C253" t="s">
        <v>4036</v>
      </c>
      <c r="D253" s="470" t="s">
        <v>8263</v>
      </c>
      <c r="E253" s="470" t="s">
        <v>8723</v>
      </c>
      <c r="F253" s="471" t="s">
        <v>7793</v>
      </c>
      <c r="G253" t="s">
        <v>9300</v>
      </c>
      <c r="H253" s="89" t="s">
        <v>6978</v>
      </c>
      <c r="I253" s="89" t="s">
        <v>6287</v>
      </c>
      <c r="J253" s="89" t="s">
        <v>7332</v>
      </c>
      <c r="K253" s="456" t="s">
        <v>6636</v>
      </c>
    </row>
    <row r="254" spans="1:11" s="12" customFormat="1" ht="29.4" thickBot="1" x14ac:dyDescent="0.35">
      <c r="A254" s="12" t="s">
        <v>4205</v>
      </c>
      <c r="B254" s="457" t="str">
        <f t="shared" si="7"/>
        <v>Intensità totale delle emissioni di gas a effetto serra di ambito 1, ambito 2 e ambito 3 (basate sul mercato)</v>
      </c>
      <c r="C254" s="12" t="s">
        <v>4037</v>
      </c>
      <c r="D254" s="478" t="s">
        <v>8264</v>
      </c>
      <c r="E254" s="478" t="s">
        <v>8724</v>
      </c>
      <c r="F254" s="472" t="s">
        <v>7794</v>
      </c>
      <c r="G254" s="12" t="s">
        <v>9301</v>
      </c>
      <c r="H254" s="424" t="s">
        <v>6979</v>
      </c>
      <c r="I254" s="424" t="s">
        <v>6288</v>
      </c>
      <c r="J254" s="424" t="s">
        <v>7333</v>
      </c>
      <c r="K254" s="476" t="s">
        <v>6637</v>
      </c>
    </row>
    <row r="255" spans="1:11" x14ac:dyDescent="0.3">
      <c r="A255" t="s">
        <v>4206</v>
      </c>
      <c r="B255" s="423" t="str">
        <f t="shared" si="7"/>
        <v>B4 – Inquinamento di aria, acqua e suolo</v>
      </c>
      <c r="C255" t="s">
        <v>4038</v>
      </c>
      <c r="D255" s="470" t="s">
        <v>8265</v>
      </c>
      <c r="E255" s="470" t="s">
        <v>8725</v>
      </c>
      <c r="F255" s="471" t="s">
        <v>7795</v>
      </c>
      <c r="G255" t="s">
        <v>9302</v>
      </c>
      <c r="H255" s="89" t="s">
        <v>6016</v>
      </c>
      <c r="I255" s="89" t="s">
        <v>5951</v>
      </c>
      <c r="J255" s="89" t="s">
        <v>7213</v>
      </c>
      <c r="K255" s="456" t="s">
        <v>6553</v>
      </c>
    </row>
    <row r="256" spans="1:11" ht="72" x14ac:dyDescent="0.3">
      <c r="A256" t="s">
        <v>4207</v>
      </c>
      <c r="B256" s="423" t="str">
        <f t="shared" si="7"/>
        <v>L'impresa è già tenuta, in forza di leggi o altre normative nazionali, a comunicare alle autorità competenti le proprie emissioni di inquinanti o riferisce volontariamente al riguardo nel quadro di un sistema di gestione ambientale?</v>
      </c>
      <c r="C256" t="s">
        <v>4039</v>
      </c>
      <c r="D256" s="470" t="s">
        <v>8266</v>
      </c>
      <c r="E256" s="470" t="s">
        <v>8726</v>
      </c>
      <c r="F256" s="471" t="s">
        <v>7796</v>
      </c>
      <c r="G256" t="s">
        <v>9303</v>
      </c>
      <c r="H256" s="89" t="s">
        <v>6980</v>
      </c>
      <c r="I256" s="89" t="s">
        <v>6289</v>
      </c>
      <c r="J256" s="89" t="s">
        <v>7334</v>
      </c>
      <c r="K256" s="456" t="s">
        <v>6638</v>
      </c>
    </row>
    <row r="257" spans="1:11" ht="28.8" x14ac:dyDescent="0.3">
      <c r="A257" t="s">
        <v>4208</v>
      </c>
      <c r="B257" s="423" t="str">
        <f t="shared" si="7"/>
        <v>Questa informativa è già disponibile al pubblico?</v>
      </c>
      <c r="C257" t="s">
        <v>3072</v>
      </c>
      <c r="D257" s="470" t="s">
        <v>8267</v>
      </c>
      <c r="E257" s="470" t="s">
        <v>8727</v>
      </c>
      <c r="F257" s="471" t="s">
        <v>7797</v>
      </c>
      <c r="G257" t="s">
        <v>9304</v>
      </c>
      <c r="H257" s="89" t="s">
        <v>6017</v>
      </c>
      <c r="I257" s="89" t="s">
        <v>6290</v>
      </c>
      <c r="J257" s="89" t="s">
        <v>5863</v>
      </c>
      <c r="K257" s="456" t="s">
        <v>6639</v>
      </c>
    </row>
    <row r="258" spans="1:11" ht="28.8" x14ac:dyDescent="0.3">
      <c r="A258" t="s">
        <v>4209</v>
      </c>
      <c r="B258" s="423" t="str">
        <f t="shared" si="7"/>
        <v>Si prega di fornire l'URL pertinente o inserire il collegamento ipertestuale dove queste informazioni figurano.</v>
      </c>
      <c r="C258" t="s">
        <v>3975</v>
      </c>
      <c r="D258" s="470" t="s">
        <v>8268</v>
      </c>
      <c r="E258" s="470" t="s">
        <v>8728</v>
      </c>
      <c r="F258" s="471" t="s">
        <v>7798</v>
      </c>
      <c r="G258" t="s">
        <v>9305</v>
      </c>
      <c r="H258" s="89" t="s">
        <v>6981</v>
      </c>
      <c r="I258" s="89" t="s">
        <v>6291</v>
      </c>
      <c r="J258" s="89" t="s">
        <v>7335</v>
      </c>
      <c r="K258" s="456" t="s">
        <v>6640</v>
      </c>
    </row>
    <row r="259" spans="1:11" ht="28.8" x14ac:dyDescent="0.3">
      <c r="A259" t="s">
        <v>4210</v>
      </c>
      <c r="B259" s="423" t="str">
        <f t="shared" si="7"/>
        <v>Selezionare l'unità utilizzata per la comunicazione della quantità (ad esempio kg o tonnellata)</v>
      </c>
      <c r="C259" t="s">
        <v>3069</v>
      </c>
      <c r="D259" s="470" t="s">
        <v>8269</v>
      </c>
      <c r="E259" s="470" t="s">
        <v>8729</v>
      </c>
      <c r="F259" s="471" t="s">
        <v>7799</v>
      </c>
      <c r="G259" t="s">
        <v>9306</v>
      </c>
      <c r="H259" s="89" t="s">
        <v>6982</v>
      </c>
      <c r="I259" s="89" t="s">
        <v>6292</v>
      </c>
      <c r="J259" s="89" t="s">
        <v>7336</v>
      </c>
      <c r="K259" s="456" t="s">
        <v>6641</v>
      </c>
    </row>
    <row r="260" spans="1:11" x14ac:dyDescent="0.3">
      <c r="A260" t="s">
        <v>4211</v>
      </c>
      <c r="B260" s="423" t="str">
        <f t="shared" ref="B260:B323" si="8">INDEX(C260:K260,MATCH(template_selected_display_language,$C$3:$K$3,0))</f>
        <v>ID Riga</v>
      </c>
      <c r="C260" t="s">
        <v>15</v>
      </c>
      <c r="D260" s="470" t="s">
        <v>8270</v>
      </c>
      <c r="E260" s="470" t="s">
        <v>8730</v>
      </c>
      <c r="F260" s="471" t="s">
        <v>7800</v>
      </c>
      <c r="G260" t="s">
        <v>9307</v>
      </c>
      <c r="H260" s="89" t="s">
        <v>6018</v>
      </c>
      <c r="I260" s="89" t="s">
        <v>5952</v>
      </c>
      <c r="J260" s="89" t="s">
        <v>5864</v>
      </c>
      <c r="K260" s="456" t="s">
        <v>5774</v>
      </c>
    </row>
    <row r="261" spans="1:11" ht="43.2" x14ac:dyDescent="0.3">
      <c r="A261" t="s">
        <v>4212</v>
      </c>
      <c r="B261" s="423" t="str">
        <f t="shared" si="8"/>
        <v xml:space="preserve">Inquinante
</v>
      </c>
      <c r="C261" t="s">
        <v>3976</v>
      </c>
      <c r="D261" s="470" t="s">
        <v>8271</v>
      </c>
      <c r="E261" s="470" t="s">
        <v>8731</v>
      </c>
      <c r="F261" s="471" t="s">
        <v>7801</v>
      </c>
      <c r="G261" t="s">
        <v>9308</v>
      </c>
      <c r="H261" s="89" t="s">
        <v>6058</v>
      </c>
      <c r="I261" s="89" t="s">
        <v>6293</v>
      </c>
      <c r="J261" s="89" t="s">
        <v>5865</v>
      </c>
      <c r="K261" s="456" t="s">
        <v>5775</v>
      </c>
    </row>
    <row r="262" spans="1:11" x14ac:dyDescent="0.3">
      <c r="A262" t="s">
        <v>4213</v>
      </c>
      <c r="B262" s="423" t="str">
        <f t="shared" si="8"/>
        <v>Emissione nell'aria</v>
      </c>
      <c r="C262" t="s">
        <v>3977</v>
      </c>
      <c r="D262" s="470" t="s">
        <v>8272</v>
      </c>
      <c r="E262" s="470" t="s">
        <v>8732</v>
      </c>
      <c r="F262" s="471" t="s">
        <v>7802</v>
      </c>
      <c r="G262" t="s">
        <v>9309</v>
      </c>
      <c r="H262" s="89" t="s">
        <v>6983</v>
      </c>
      <c r="I262" s="89" t="s">
        <v>6072</v>
      </c>
      <c r="J262" s="89" t="s">
        <v>7337</v>
      </c>
      <c r="K262" s="456" t="s">
        <v>6488</v>
      </c>
    </row>
    <row r="263" spans="1:11" x14ac:dyDescent="0.3">
      <c r="A263" t="s">
        <v>4214</v>
      </c>
      <c r="B263" s="423" t="str">
        <f t="shared" si="8"/>
        <v>Emissione nell'acqua</v>
      </c>
      <c r="C263" t="s">
        <v>3978</v>
      </c>
      <c r="D263" s="470" t="s">
        <v>8273</v>
      </c>
      <c r="E263" s="470" t="s">
        <v>8733</v>
      </c>
      <c r="F263" s="471" t="s">
        <v>7803</v>
      </c>
      <c r="G263" t="s">
        <v>9310</v>
      </c>
      <c r="H263" s="89" t="s">
        <v>6984</v>
      </c>
      <c r="I263" s="89" t="s">
        <v>5953</v>
      </c>
      <c r="J263" s="89" t="s">
        <v>5866</v>
      </c>
      <c r="K263" s="456" t="s">
        <v>6489</v>
      </c>
    </row>
    <row r="264" spans="1:11" s="12" customFormat="1" ht="15" thickBot="1" x14ac:dyDescent="0.35">
      <c r="A264" s="12" t="s">
        <v>4215</v>
      </c>
      <c r="B264" s="457" t="str">
        <f t="shared" si="8"/>
        <v>Emissione nel suolo</v>
      </c>
      <c r="C264" s="12" t="s">
        <v>3979</v>
      </c>
      <c r="D264" s="478" t="s">
        <v>8274</v>
      </c>
      <c r="E264" s="478" t="s">
        <v>8734</v>
      </c>
      <c r="F264" s="472" t="s">
        <v>7804</v>
      </c>
      <c r="G264" s="12" t="s">
        <v>9311</v>
      </c>
      <c r="H264" s="424" t="s">
        <v>6985</v>
      </c>
      <c r="I264" s="424" t="s">
        <v>5954</v>
      </c>
      <c r="J264" s="424" t="s">
        <v>5867</v>
      </c>
      <c r="K264" s="476" t="s">
        <v>6490</v>
      </c>
    </row>
    <row r="265" spans="1:11" ht="28.8" x14ac:dyDescent="0.3">
      <c r="A265" t="s">
        <v>4216</v>
      </c>
      <c r="B265" s="423" t="str">
        <f t="shared" si="8"/>
        <v>B5 – Siti all'interno di aree sensibili sotto il profilo della biodiversità</v>
      </c>
      <c r="C265" t="s">
        <v>4014</v>
      </c>
      <c r="D265" s="470" t="s">
        <v>8275</v>
      </c>
      <c r="E265" s="470" t="s">
        <v>8735</v>
      </c>
      <c r="F265" s="471" t="s">
        <v>7805</v>
      </c>
      <c r="G265" t="s">
        <v>9312</v>
      </c>
      <c r="H265" s="89" t="s">
        <v>6986</v>
      </c>
      <c r="I265" s="89" t="s">
        <v>6294</v>
      </c>
      <c r="J265" s="89" t="s">
        <v>7338</v>
      </c>
      <c r="K265" s="456" t="s">
        <v>6642</v>
      </c>
    </row>
    <row r="266" spans="1:11" ht="43.2" x14ac:dyDescent="0.3">
      <c r="A266" t="s">
        <v>4217</v>
      </c>
      <c r="B266" s="423" t="str">
        <f t="shared" si="8"/>
        <v>L'impresa ha siti ubicati all'interno o in prossimità di un'area sensibile sotto il profilo della biodiversità?</v>
      </c>
      <c r="C266" t="s">
        <v>3088</v>
      </c>
      <c r="D266" s="470" t="s">
        <v>8276</v>
      </c>
      <c r="E266" s="470" t="s">
        <v>8736</v>
      </c>
      <c r="F266" s="471" t="s">
        <v>7806</v>
      </c>
      <c r="G266" t="s">
        <v>9313</v>
      </c>
      <c r="H266" s="89" t="s">
        <v>6987</v>
      </c>
      <c r="I266" s="89" t="s">
        <v>6295</v>
      </c>
      <c r="J266" s="89" t="s">
        <v>7339</v>
      </c>
      <c r="K266" s="456" t="s">
        <v>6643</v>
      </c>
    </row>
    <row r="267" spans="1:11" ht="28.8" x14ac:dyDescent="0.3">
      <c r="A267" t="s">
        <v>4218</v>
      </c>
      <c r="B267" s="423" t="str">
        <f t="shared" si="8"/>
        <v>Si prega di selezionare l'unità di misura utilizzata per la superficie (ossia, ettari o m²):</v>
      </c>
      <c r="C267" t="s">
        <v>3067</v>
      </c>
      <c r="D267" s="470" t="s">
        <v>8277</v>
      </c>
      <c r="E267" s="470" t="s">
        <v>8737</v>
      </c>
      <c r="F267" s="471" t="s">
        <v>7807</v>
      </c>
      <c r="G267" t="s">
        <v>9314</v>
      </c>
      <c r="H267" s="89" t="s">
        <v>6988</v>
      </c>
      <c r="I267" s="89" t="s">
        <v>6296</v>
      </c>
      <c r="J267" s="89" t="s">
        <v>7340</v>
      </c>
      <c r="K267" s="456" t="s">
        <v>6644</v>
      </c>
    </row>
    <row r="268" spans="1:11" ht="28.8" x14ac:dyDescent="0.3">
      <c r="A268" t="s">
        <v>4219</v>
      </c>
      <c r="B268" s="423" t="str">
        <f t="shared" si="8"/>
        <v>ID del sito correlato (selezionare un ID da un'ubicazione del sito riportata in B1)</v>
      </c>
      <c r="C268" t="s">
        <v>3545</v>
      </c>
      <c r="D268" s="470" t="s">
        <v>8278</v>
      </c>
      <c r="E268" s="470" t="s">
        <v>8738</v>
      </c>
      <c r="F268" s="471" t="s">
        <v>7808</v>
      </c>
      <c r="G268" t="s">
        <v>9315</v>
      </c>
      <c r="H268" s="89" t="s">
        <v>6989</v>
      </c>
      <c r="I268" s="89" t="s">
        <v>6297</v>
      </c>
      <c r="J268" s="89" t="s">
        <v>7341</v>
      </c>
      <c r="K268" s="456" t="s">
        <v>6645</v>
      </c>
    </row>
    <row r="269" spans="1:11" ht="57.6" x14ac:dyDescent="0.3">
      <c r="A269" t="s">
        <v>4220</v>
      </c>
      <c r="B269" s="423" t="str">
        <f t="shared" si="8"/>
        <v>Ubicazione del sito all'interno o in prossimità di un'area sensibile sotto il profilo della biodiversità - compilato automaticamente da B1</v>
      </c>
      <c r="C269" t="s">
        <v>4056</v>
      </c>
      <c r="D269" s="470" t="s">
        <v>8279</v>
      </c>
      <c r="E269" s="470" t="s">
        <v>8739</v>
      </c>
      <c r="F269" s="471" t="s">
        <v>7809</v>
      </c>
      <c r="G269" t="s">
        <v>9316</v>
      </c>
      <c r="H269" s="89" t="s">
        <v>6990</v>
      </c>
      <c r="I269" s="89" t="s">
        <v>6298</v>
      </c>
      <c r="J269" s="89" t="s">
        <v>7342</v>
      </c>
      <c r="K269" s="456" t="s">
        <v>6646</v>
      </c>
    </row>
    <row r="270" spans="1:11" x14ac:dyDescent="0.3">
      <c r="A270" t="s">
        <v>4221</v>
      </c>
      <c r="B270" s="423" t="str">
        <f t="shared" si="8"/>
        <v>Superficie (ettari o m² in base alla selezione sopra)</v>
      </c>
      <c r="C270" t="s">
        <v>3065</v>
      </c>
      <c r="D270" s="470" t="s">
        <v>8280</v>
      </c>
      <c r="E270" s="470" t="s">
        <v>8740</v>
      </c>
      <c r="F270" s="471" t="s">
        <v>7810</v>
      </c>
      <c r="G270" t="s">
        <v>9317</v>
      </c>
      <c r="H270" s="89" t="s">
        <v>6991</v>
      </c>
      <c r="I270" s="89" t="s">
        <v>6299</v>
      </c>
      <c r="J270" s="89" t="s">
        <v>5868</v>
      </c>
      <c r="K270" s="456" t="s">
        <v>6647</v>
      </c>
    </row>
    <row r="271" spans="1:11" ht="28.8" x14ac:dyDescent="0.3">
      <c r="A271" t="s">
        <v>4222</v>
      </c>
      <c r="B271" s="423" t="str">
        <f t="shared" si="8"/>
        <v>Sito ubicato all'interno di un'area sensibile sotto il profilo della biodiversità</v>
      </c>
      <c r="C271" t="s">
        <v>2915</v>
      </c>
      <c r="D271" s="470" t="s">
        <v>8281</v>
      </c>
      <c r="E271" s="470" t="s">
        <v>8741</v>
      </c>
      <c r="F271" s="471" t="s">
        <v>7811</v>
      </c>
      <c r="G271" t="s">
        <v>9318</v>
      </c>
      <c r="H271" s="89" t="s">
        <v>6992</v>
      </c>
      <c r="I271" s="89" t="s">
        <v>6300</v>
      </c>
      <c r="J271" s="89" t="s">
        <v>5869</v>
      </c>
      <c r="K271" s="456" t="s">
        <v>6648</v>
      </c>
    </row>
    <row r="272" spans="1:11" s="12" customFormat="1" ht="29.4" thickBot="1" x14ac:dyDescent="0.35">
      <c r="A272" s="12" t="s">
        <v>4223</v>
      </c>
      <c r="B272" s="457" t="str">
        <f t="shared" si="8"/>
        <v>Sito ubicato in prossimità di un'area sensibile sotto il profilo della biodiversità</v>
      </c>
      <c r="C272" s="12" t="s">
        <v>2916</v>
      </c>
      <c r="D272" s="478" t="s">
        <v>8282</v>
      </c>
      <c r="E272" s="478" t="s">
        <v>8742</v>
      </c>
      <c r="F272" s="472" t="s">
        <v>7812</v>
      </c>
      <c r="G272" s="12" t="s">
        <v>9319</v>
      </c>
      <c r="H272" s="424" t="s">
        <v>6993</v>
      </c>
      <c r="I272" s="424" t="s">
        <v>6301</v>
      </c>
      <c r="J272" s="424" t="s">
        <v>7343</v>
      </c>
      <c r="K272" s="476" t="s">
        <v>6649</v>
      </c>
    </row>
    <row r="273" spans="1:11" x14ac:dyDescent="0.3">
      <c r="A273" t="s">
        <v>4224</v>
      </c>
      <c r="B273" s="423" t="str">
        <f t="shared" si="8"/>
        <v>B5 – Biodiversità – Uso del suolo</v>
      </c>
      <c r="C273" t="s">
        <v>4015</v>
      </c>
      <c r="D273" s="470" t="s">
        <v>8283</v>
      </c>
      <c r="E273" s="470" t="s">
        <v>8743</v>
      </c>
      <c r="F273" s="471" t="s">
        <v>7813</v>
      </c>
      <c r="G273" t="s">
        <v>9320</v>
      </c>
      <c r="H273" s="89" t="s">
        <v>6019</v>
      </c>
      <c r="I273" s="89" t="s">
        <v>6302</v>
      </c>
      <c r="J273" s="89" t="s">
        <v>7344</v>
      </c>
      <c r="K273" s="456" t="s">
        <v>6650</v>
      </c>
    </row>
    <row r="274" spans="1:11" x14ac:dyDescent="0.3">
      <c r="A274" t="s">
        <v>4225</v>
      </c>
      <c r="B274" s="423" t="str">
        <f t="shared" si="8"/>
        <v>Tipo di uso del suolo</v>
      </c>
      <c r="C274" t="s">
        <v>17</v>
      </c>
      <c r="D274" s="470" t="s">
        <v>8284</v>
      </c>
      <c r="E274" s="481" t="s">
        <v>8744</v>
      </c>
      <c r="F274" s="471" t="s">
        <v>7814</v>
      </c>
      <c r="G274" t="s">
        <v>9321</v>
      </c>
      <c r="H274" s="89" t="s">
        <v>6059</v>
      </c>
      <c r="I274" s="89" t="s">
        <v>6303</v>
      </c>
      <c r="J274" s="89" t="s">
        <v>5870</v>
      </c>
      <c r="K274" s="456" t="s">
        <v>6651</v>
      </c>
    </row>
    <row r="275" spans="1:11" x14ac:dyDescent="0.3">
      <c r="A275" t="s">
        <v>4226</v>
      </c>
      <c r="B275" s="423" t="str">
        <f t="shared" si="8"/>
        <v>Superficie</v>
      </c>
      <c r="C275" t="s">
        <v>3532</v>
      </c>
      <c r="D275" s="470" t="s">
        <v>8285</v>
      </c>
      <c r="E275" s="456" t="s">
        <v>8745</v>
      </c>
      <c r="F275" s="471" t="s">
        <v>7815</v>
      </c>
      <c r="G275" t="s">
        <v>9322</v>
      </c>
      <c r="H275" s="89" t="s">
        <v>6994</v>
      </c>
      <c r="I275" s="89" t="s">
        <v>6304</v>
      </c>
      <c r="J275" s="89" t="s">
        <v>5776</v>
      </c>
      <c r="K275" s="456" t="s">
        <v>5776</v>
      </c>
    </row>
    <row r="276" spans="1:11" x14ac:dyDescent="0.3">
      <c r="A276" t="s">
        <v>4227</v>
      </c>
      <c r="B276" s="423" t="str">
        <f t="shared" si="8"/>
        <v>Superficie totale impermeabilizzata</v>
      </c>
      <c r="C276" t="s">
        <v>18</v>
      </c>
      <c r="D276" s="470" t="s">
        <v>8286</v>
      </c>
      <c r="E276" s="470" t="s">
        <v>8746</v>
      </c>
      <c r="F276" s="471" t="s">
        <v>7816</v>
      </c>
      <c r="G276" t="s">
        <v>9323</v>
      </c>
      <c r="H276" s="89" t="s">
        <v>6995</v>
      </c>
      <c r="I276" s="89" t="s">
        <v>6305</v>
      </c>
      <c r="J276" s="89" t="s">
        <v>7345</v>
      </c>
      <c r="K276" s="456" t="s">
        <v>6652</v>
      </c>
    </row>
    <row r="277" spans="1:11" ht="28.8" x14ac:dyDescent="0.3">
      <c r="A277" t="s">
        <v>4228</v>
      </c>
      <c r="B277" s="423" t="str">
        <f t="shared" si="8"/>
        <v>Superficie totale orientata alla natura nel sito</v>
      </c>
      <c r="C277" t="s">
        <v>3980</v>
      </c>
      <c r="D277" s="470" t="s">
        <v>8287</v>
      </c>
      <c r="E277" s="470" t="s">
        <v>8747</v>
      </c>
      <c r="F277" s="471" t="s">
        <v>7817</v>
      </c>
      <c r="G277" t="s">
        <v>9324</v>
      </c>
      <c r="H277" s="89" t="s">
        <v>6996</v>
      </c>
      <c r="I277" s="89" t="s">
        <v>6306</v>
      </c>
      <c r="J277" s="89" t="s">
        <v>7346</v>
      </c>
      <c r="K277" s="456" t="s">
        <v>6653</v>
      </c>
    </row>
    <row r="278" spans="1:11" ht="28.8" x14ac:dyDescent="0.3">
      <c r="A278" t="s">
        <v>4229</v>
      </c>
      <c r="B278" s="423" t="str">
        <f t="shared" si="8"/>
        <v>Superficie totale orientata alla natura fuori dal sito</v>
      </c>
      <c r="C278" t="s">
        <v>3981</v>
      </c>
      <c r="D278" s="470" t="s">
        <v>8288</v>
      </c>
      <c r="E278" s="470" t="s">
        <v>8748</v>
      </c>
      <c r="F278" s="471" t="s">
        <v>7818</v>
      </c>
      <c r="G278" t="s">
        <v>9325</v>
      </c>
      <c r="H278" s="89" t="s">
        <v>6997</v>
      </c>
      <c r="I278" s="89" t="s">
        <v>6307</v>
      </c>
      <c r="J278" s="89" t="s">
        <v>7347</v>
      </c>
      <c r="K278" s="456" t="s">
        <v>6654</v>
      </c>
    </row>
    <row r="279" spans="1:11" s="12" customFormat="1" ht="15" thickBot="1" x14ac:dyDescent="0.35">
      <c r="A279" s="12" t="s">
        <v>4230</v>
      </c>
      <c r="B279" s="457" t="str">
        <f t="shared" si="8"/>
        <v>Uso totale del suolo</v>
      </c>
      <c r="C279" s="12" t="s">
        <v>19</v>
      </c>
      <c r="D279" s="478" t="s">
        <v>8289</v>
      </c>
      <c r="E279" s="478" t="s">
        <v>8749</v>
      </c>
      <c r="F279" s="472" t="s">
        <v>7819</v>
      </c>
      <c r="G279" s="12" t="s">
        <v>9326</v>
      </c>
      <c r="H279" s="424" t="s">
        <v>6020</v>
      </c>
      <c r="I279" s="424" t="s">
        <v>6308</v>
      </c>
      <c r="J279" s="424" t="s">
        <v>7348</v>
      </c>
      <c r="K279" s="476" t="s">
        <v>5777</v>
      </c>
    </row>
    <row r="280" spans="1:11" x14ac:dyDescent="0.3">
      <c r="A280" t="s">
        <v>4231</v>
      </c>
      <c r="B280" s="423" t="str">
        <f t="shared" si="8"/>
        <v>B6 - Prelievo Idrico</v>
      </c>
      <c r="C280" t="s">
        <v>4016</v>
      </c>
      <c r="D280" s="470" t="s">
        <v>8290</v>
      </c>
      <c r="E280" s="470" t="s">
        <v>8750</v>
      </c>
      <c r="F280" s="471" t="s">
        <v>7820</v>
      </c>
      <c r="G280" t="s">
        <v>9327</v>
      </c>
      <c r="H280" s="89" t="s">
        <v>6998</v>
      </c>
      <c r="I280" s="89" t="s">
        <v>6309</v>
      </c>
      <c r="J280" s="89" t="s">
        <v>7349</v>
      </c>
      <c r="K280" s="456" t="s">
        <v>5713</v>
      </c>
    </row>
    <row r="281" spans="1:11" ht="28.8" x14ac:dyDescent="0.3">
      <c r="A281" t="s">
        <v>4232</v>
      </c>
      <c r="B281" s="423" t="str">
        <f t="shared" si="8"/>
        <v>Quantità totale di acqua prelevata da tutti i siti (metri cubi m³)</v>
      </c>
      <c r="C281" t="s">
        <v>4040</v>
      </c>
      <c r="D281" s="470" t="s">
        <v>8291</v>
      </c>
      <c r="E281" s="470" t="s">
        <v>8751</v>
      </c>
      <c r="F281" s="471" t="s">
        <v>7821</v>
      </c>
      <c r="G281" t="s">
        <v>9328</v>
      </c>
      <c r="H281" s="89" t="s">
        <v>6999</v>
      </c>
      <c r="I281" s="89" t="s">
        <v>6310</v>
      </c>
      <c r="J281" s="89" t="s">
        <v>7350</v>
      </c>
      <c r="K281" s="456" t="s">
        <v>6655</v>
      </c>
    </row>
    <row r="282" spans="1:11" s="12" customFormat="1" ht="29.4" thickBot="1" x14ac:dyDescent="0.35">
      <c r="A282" s="12" t="s">
        <v>4233</v>
      </c>
      <c r="B282" s="457" t="str">
        <f t="shared" si="8"/>
        <v>Quantità di acqua prelevata presso siti ubicati in aree ad elevato stress idrico (metri cubi m³)</v>
      </c>
      <c r="C282" s="12" t="s">
        <v>4041</v>
      </c>
      <c r="D282" s="478" t="s">
        <v>8292</v>
      </c>
      <c r="E282" s="478" t="s">
        <v>8752</v>
      </c>
      <c r="F282" s="472" t="s">
        <v>7822</v>
      </c>
      <c r="G282" s="12" t="s">
        <v>9329</v>
      </c>
      <c r="H282" s="424" t="s">
        <v>7000</v>
      </c>
      <c r="I282" s="424" t="s">
        <v>6311</v>
      </c>
      <c r="J282" s="424" t="s">
        <v>7351</v>
      </c>
      <c r="K282" s="476" t="s">
        <v>6656</v>
      </c>
    </row>
    <row r="283" spans="1:11" ht="28.8" x14ac:dyDescent="0.3">
      <c r="A283" t="s">
        <v>4234</v>
      </c>
      <c r="B283" s="423" t="str">
        <f t="shared" si="8"/>
        <v>B6 – Acque</v>
      </c>
      <c r="C283" t="s">
        <v>4017</v>
      </c>
      <c r="D283" s="470" t="s">
        <v>8293</v>
      </c>
      <c r="E283" s="470" t="s">
        <v>8753</v>
      </c>
      <c r="F283" s="471" t="s">
        <v>7823</v>
      </c>
      <c r="G283" t="s">
        <v>9330</v>
      </c>
      <c r="H283" s="89" t="s">
        <v>7001</v>
      </c>
      <c r="I283" s="89" t="s">
        <v>6073</v>
      </c>
      <c r="J283" s="89" t="s">
        <v>7352</v>
      </c>
      <c r="K283" s="456" t="s">
        <v>6657</v>
      </c>
    </row>
    <row r="284" spans="1:11" ht="86.4" x14ac:dyDescent="0.3">
      <c r="A284" t="s">
        <v>4235</v>
      </c>
      <c r="B284" s="423" t="str">
        <f t="shared" si="8"/>
        <v>L'impresa svolge processi di produzione che consumano quantità significative di acqua (ad esempio processi che richiedono energia termica quali l'essiccazione o la produzione di energia elettrica, produzione di merci, irrigazione agricola, ecc.)?</v>
      </c>
      <c r="C284" t="s">
        <v>4042</v>
      </c>
      <c r="D284" s="470" t="s">
        <v>8294</v>
      </c>
      <c r="E284" s="470" t="s">
        <v>8754</v>
      </c>
      <c r="F284" s="471" t="s">
        <v>7824</v>
      </c>
      <c r="G284" t="s">
        <v>9331</v>
      </c>
      <c r="H284" s="89" t="s">
        <v>7002</v>
      </c>
      <c r="I284" s="89" t="s">
        <v>6312</v>
      </c>
      <c r="J284" s="89" t="s">
        <v>7353</v>
      </c>
      <c r="K284" s="456" t="s">
        <v>6658</v>
      </c>
    </row>
    <row r="285" spans="1:11" ht="28.8" x14ac:dyDescent="0.3">
      <c r="A285" t="s">
        <v>4236</v>
      </c>
      <c r="B285" s="423" t="str">
        <f t="shared" si="8"/>
        <v>Scarico di acque risultante dai processi di produzione dell'impresa (m³)</v>
      </c>
      <c r="C285" t="s">
        <v>3533</v>
      </c>
      <c r="D285" s="470" t="s">
        <v>8295</v>
      </c>
      <c r="E285" s="470" t="s">
        <v>8755</v>
      </c>
      <c r="F285" s="471" t="s">
        <v>7825</v>
      </c>
      <c r="G285" t="s">
        <v>9332</v>
      </c>
      <c r="H285" s="89" t="s">
        <v>7003</v>
      </c>
      <c r="I285" s="89" t="s">
        <v>6313</v>
      </c>
      <c r="J285" s="89" t="s">
        <v>7354</v>
      </c>
      <c r="K285" s="456" t="s">
        <v>6659</v>
      </c>
    </row>
    <row r="286" spans="1:11" s="12" customFormat="1" ht="15" thickBot="1" x14ac:dyDescent="0.35">
      <c r="A286" s="12" t="s">
        <v>4237</v>
      </c>
      <c r="B286" s="457" t="str">
        <f t="shared" si="8"/>
        <v>Consumo idrico totale (m³)</v>
      </c>
      <c r="C286" s="12" t="s">
        <v>3606</v>
      </c>
      <c r="D286" s="478" t="s">
        <v>8296</v>
      </c>
      <c r="E286" s="478" t="s">
        <v>8756</v>
      </c>
      <c r="F286" s="472" t="s">
        <v>7826</v>
      </c>
      <c r="G286" s="12" t="s">
        <v>9333</v>
      </c>
      <c r="H286" s="424" t="s">
        <v>6021</v>
      </c>
      <c r="I286" s="424" t="s">
        <v>6074</v>
      </c>
      <c r="J286" s="424" t="s">
        <v>5871</v>
      </c>
      <c r="K286" s="476" t="s">
        <v>6098</v>
      </c>
    </row>
    <row r="287" spans="1:11" x14ac:dyDescent="0.3">
      <c r="A287" t="s">
        <v>4238</v>
      </c>
      <c r="B287" s="423" t="str">
        <f t="shared" si="8"/>
        <v>B7 – Descrizione dei principi dell'economia circolare</v>
      </c>
      <c r="C287" t="s">
        <v>4018</v>
      </c>
      <c r="D287" s="470" t="s">
        <v>8297</v>
      </c>
      <c r="E287" s="470" t="s">
        <v>8757</v>
      </c>
      <c r="F287" s="471" t="s">
        <v>7827</v>
      </c>
      <c r="G287" t="s">
        <v>9334</v>
      </c>
      <c r="H287" s="89" t="s">
        <v>6022</v>
      </c>
      <c r="I287" s="89" t="s">
        <v>6314</v>
      </c>
      <c r="J287" s="89" t="s">
        <v>5872</v>
      </c>
      <c r="K287" s="456" t="s">
        <v>6660</v>
      </c>
    </row>
    <row r="288" spans="1:11" ht="28.8" x14ac:dyDescent="0.3">
      <c r="A288" t="s">
        <v>4239</v>
      </c>
      <c r="B288" s="423" t="str">
        <f t="shared" si="8"/>
        <v>L'impresa applica i principi dell'economia circolare</v>
      </c>
      <c r="C288" t="s">
        <v>3540</v>
      </c>
      <c r="D288" s="470" t="s">
        <v>8298</v>
      </c>
      <c r="E288" s="470" t="s">
        <v>8758</v>
      </c>
      <c r="F288" s="471" t="s">
        <v>7828</v>
      </c>
      <c r="G288" t="s">
        <v>9335</v>
      </c>
      <c r="H288" s="89" t="s">
        <v>6023</v>
      </c>
      <c r="I288" s="89" t="s">
        <v>6315</v>
      </c>
      <c r="J288" s="89" t="s">
        <v>7355</v>
      </c>
      <c r="K288" s="456" t="s">
        <v>6661</v>
      </c>
    </row>
    <row r="289" spans="1:11" s="12" customFormat="1" ht="29.4" thickBot="1" x14ac:dyDescent="0.35">
      <c r="A289" s="12" t="s">
        <v>4240</v>
      </c>
      <c r="B289" s="457" t="str">
        <f t="shared" si="8"/>
        <v>Descrizione delle modalità con cui applica questi principi</v>
      </c>
      <c r="C289" s="12" t="s">
        <v>2918</v>
      </c>
      <c r="D289" s="478" t="s">
        <v>8299</v>
      </c>
      <c r="E289" s="478" t="s">
        <v>8759</v>
      </c>
      <c r="F289" s="472" t="s">
        <v>7829</v>
      </c>
      <c r="G289" s="12" t="s">
        <v>9336</v>
      </c>
      <c r="H289" s="424" t="s">
        <v>7004</v>
      </c>
      <c r="I289" s="424" t="s">
        <v>5955</v>
      </c>
      <c r="J289" s="424" t="s">
        <v>7356</v>
      </c>
      <c r="K289" s="476" t="s">
        <v>6662</v>
      </c>
    </row>
    <row r="290" spans="1:11" ht="28.8" x14ac:dyDescent="0.3">
      <c r="A290" t="s">
        <v>4241</v>
      </c>
      <c r="B290" s="423" t="str">
        <f t="shared" si="8"/>
        <v>B7 – Uso delle risorse, economia circolare e gestione dei rifiuti</v>
      </c>
      <c r="C290" t="s">
        <v>4019</v>
      </c>
      <c r="D290" s="470" t="s">
        <v>8300</v>
      </c>
      <c r="E290" s="470" t="s">
        <v>8760</v>
      </c>
      <c r="F290" s="471" t="s">
        <v>7830</v>
      </c>
      <c r="G290" t="s">
        <v>9337</v>
      </c>
      <c r="H290" s="89" t="s">
        <v>7005</v>
      </c>
      <c r="I290" s="89" t="s">
        <v>5956</v>
      </c>
      <c r="J290" s="89" t="s">
        <v>5873</v>
      </c>
      <c r="K290" s="456" t="s">
        <v>6663</v>
      </c>
    </row>
    <row r="291" spans="1:11" x14ac:dyDescent="0.3">
      <c r="A291" t="s">
        <v>4242</v>
      </c>
      <c r="B291" s="423" t="str">
        <f t="shared" si="8"/>
        <v>Tipo di rifiuto</v>
      </c>
      <c r="C291" t="s">
        <v>2760</v>
      </c>
      <c r="D291" s="470" t="s">
        <v>8301</v>
      </c>
      <c r="E291" s="470" t="s">
        <v>8761</v>
      </c>
      <c r="F291" s="471" t="s">
        <v>7831</v>
      </c>
      <c r="G291" t="s">
        <v>9338</v>
      </c>
      <c r="H291" s="89" t="s">
        <v>6024</v>
      </c>
      <c r="I291" s="89" t="s">
        <v>6316</v>
      </c>
      <c r="J291" s="89" t="s">
        <v>7357</v>
      </c>
      <c r="K291" s="456" t="s">
        <v>6664</v>
      </c>
    </row>
    <row r="292" spans="1:11" x14ac:dyDescent="0.3">
      <c r="A292" t="s">
        <v>4243</v>
      </c>
      <c r="B292" s="423" t="str">
        <f t="shared" si="8"/>
        <v>Unità di misura</v>
      </c>
      <c r="C292" t="s">
        <v>2756</v>
      </c>
      <c r="D292" s="470" t="s">
        <v>8302</v>
      </c>
      <c r="E292" s="470" t="s">
        <v>8762</v>
      </c>
      <c r="F292" s="471" t="s">
        <v>7832</v>
      </c>
      <c r="G292" t="s">
        <v>9339</v>
      </c>
      <c r="H292" s="89" t="s">
        <v>6025</v>
      </c>
      <c r="I292" s="89" t="s">
        <v>5957</v>
      </c>
      <c r="J292" s="89" t="s">
        <v>5874</v>
      </c>
      <c r="K292" s="456" t="s">
        <v>5778</v>
      </c>
    </row>
    <row r="293" spans="1:11" ht="28.8" x14ac:dyDescent="0.3">
      <c r="A293" t="s">
        <v>4244</v>
      </c>
      <c r="B293" s="423" t="str">
        <f t="shared" si="8"/>
        <v>Rifiuti reindirizzati al riciclaggio o al riutilizzo</v>
      </c>
      <c r="C293" t="s">
        <v>3982</v>
      </c>
      <c r="D293" s="470" t="s">
        <v>8303</v>
      </c>
      <c r="E293" s="470" t="s">
        <v>8763</v>
      </c>
      <c r="F293" s="471" t="s">
        <v>7833</v>
      </c>
      <c r="G293" t="s">
        <v>9340</v>
      </c>
      <c r="H293" s="89" t="s">
        <v>6026</v>
      </c>
      <c r="I293" s="89" t="s">
        <v>5958</v>
      </c>
      <c r="J293" s="89" t="s">
        <v>6092</v>
      </c>
      <c r="K293" s="456" t="s">
        <v>5779</v>
      </c>
    </row>
    <row r="294" spans="1:11" x14ac:dyDescent="0.3">
      <c r="A294" t="s">
        <v>4245</v>
      </c>
      <c r="B294" s="423" t="str">
        <f t="shared" si="8"/>
        <v>Rifiuti destinati allo smaltimento</v>
      </c>
      <c r="C294" t="s">
        <v>3071</v>
      </c>
      <c r="D294" s="470" t="s">
        <v>8304</v>
      </c>
      <c r="E294" s="470" t="s">
        <v>8764</v>
      </c>
      <c r="F294" s="471" t="s">
        <v>7834</v>
      </c>
      <c r="G294" t="s">
        <v>9341</v>
      </c>
      <c r="H294" s="89" t="s">
        <v>7006</v>
      </c>
      <c r="I294" s="89" t="s">
        <v>6317</v>
      </c>
      <c r="J294" s="89" t="s">
        <v>7358</v>
      </c>
      <c r="K294" s="456" t="s">
        <v>6665</v>
      </c>
    </row>
    <row r="295" spans="1:11" ht="28.8" x14ac:dyDescent="0.3">
      <c r="A295" t="s">
        <v>4246</v>
      </c>
      <c r="B295" s="423" t="str">
        <f t="shared" si="8"/>
        <v>Quantità di rifiuti riciclati, riutilizzati e destinati allo smaltimento</v>
      </c>
      <c r="C295" t="s">
        <v>4374</v>
      </c>
      <c r="D295" s="470" t="s">
        <v>8305</v>
      </c>
      <c r="E295" s="470" t="s">
        <v>8765</v>
      </c>
      <c r="F295" s="471" t="s">
        <v>7835</v>
      </c>
      <c r="G295" t="s">
        <v>9342</v>
      </c>
      <c r="H295" s="89" t="s">
        <v>7007</v>
      </c>
      <c r="I295" s="89" t="s">
        <v>6318</v>
      </c>
      <c r="J295" s="89" t="s">
        <v>7359</v>
      </c>
      <c r="K295" s="456" t="s">
        <v>6666</v>
      </c>
    </row>
    <row r="296" spans="1:11" x14ac:dyDescent="0.3">
      <c r="A296" t="s">
        <v>4247</v>
      </c>
      <c r="B296" s="423" t="str">
        <f t="shared" si="8"/>
        <v>Totale rifiuti pericolosi generati (massa)</v>
      </c>
      <c r="C296" t="s">
        <v>3608</v>
      </c>
      <c r="D296" s="470" t="s">
        <v>8306</v>
      </c>
      <c r="E296" s="470" t="s">
        <v>8766</v>
      </c>
      <c r="F296" s="471" t="s">
        <v>7836</v>
      </c>
      <c r="G296" t="s">
        <v>9343</v>
      </c>
      <c r="H296" s="89" t="s">
        <v>7008</v>
      </c>
      <c r="I296" s="89" t="s">
        <v>6319</v>
      </c>
      <c r="J296" s="89" t="s">
        <v>7360</v>
      </c>
      <c r="K296" s="456" t="s">
        <v>6667</v>
      </c>
    </row>
    <row r="297" spans="1:11" x14ac:dyDescent="0.3">
      <c r="A297" t="s">
        <v>4248</v>
      </c>
      <c r="B297" s="423" t="str">
        <f t="shared" si="8"/>
        <v>Importo totale di rifiuti generati</v>
      </c>
      <c r="C297" t="s">
        <v>3607</v>
      </c>
      <c r="D297" s="470" t="s">
        <v>8307</v>
      </c>
      <c r="E297" s="470" t="s">
        <v>8767</v>
      </c>
      <c r="F297" s="471" t="s">
        <v>7837</v>
      </c>
      <c r="G297" t="s">
        <v>9344</v>
      </c>
      <c r="H297" s="89" t="s">
        <v>6060</v>
      </c>
      <c r="I297" s="89" t="s">
        <v>6320</v>
      </c>
      <c r="J297" s="89" t="s">
        <v>5875</v>
      </c>
      <c r="K297" s="456" t="s">
        <v>5780</v>
      </c>
    </row>
    <row r="298" spans="1:11" ht="28.8" x14ac:dyDescent="0.3">
      <c r="A298" t="s">
        <v>4249</v>
      </c>
      <c r="B298" s="423" t="str">
        <f t="shared" si="8"/>
        <v>Totale rifiuti non pericolosi generati (massa)</v>
      </c>
      <c r="C298" t="s">
        <v>3609</v>
      </c>
      <c r="D298" s="470" t="s">
        <v>8308</v>
      </c>
      <c r="E298" s="470" t="s">
        <v>8768</v>
      </c>
      <c r="F298" s="471" t="s">
        <v>7838</v>
      </c>
      <c r="G298" t="s">
        <v>9345</v>
      </c>
      <c r="H298" s="89" t="s">
        <v>7009</v>
      </c>
      <c r="I298" s="89" t="s">
        <v>6321</v>
      </c>
      <c r="J298" s="89" t="s">
        <v>7361</v>
      </c>
      <c r="K298" s="456" t="s">
        <v>6668</v>
      </c>
    </row>
    <row r="299" spans="1:11" x14ac:dyDescent="0.3">
      <c r="A299" t="s">
        <v>4250</v>
      </c>
      <c r="B299" s="423" t="str">
        <f t="shared" si="8"/>
        <v>Totale rifiuti generati (massa)</v>
      </c>
      <c r="C299" t="s">
        <v>3610</v>
      </c>
      <c r="D299" s="470" t="s">
        <v>8309</v>
      </c>
      <c r="E299" s="470" t="s">
        <v>8769</v>
      </c>
      <c r="F299" s="471" t="s">
        <v>7839</v>
      </c>
      <c r="G299" t="s">
        <v>9346</v>
      </c>
      <c r="H299" s="89" t="s">
        <v>7010</v>
      </c>
      <c r="I299" s="89" t="s">
        <v>6322</v>
      </c>
      <c r="J299" s="89" t="s">
        <v>7362</v>
      </c>
      <c r="K299" s="456" t="s">
        <v>5781</v>
      </c>
    </row>
    <row r="300" spans="1:11" x14ac:dyDescent="0.3">
      <c r="A300" t="s">
        <v>4251</v>
      </c>
      <c r="B300" s="423" t="str">
        <f t="shared" si="8"/>
        <v>Totale rifiuti pericolosi generati (volume)</v>
      </c>
      <c r="C300" t="s">
        <v>3611</v>
      </c>
      <c r="D300" s="470" t="s">
        <v>8310</v>
      </c>
      <c r="E300" s="470" t="s">
        <v>8770</v>
      </c>
      <c r="F300" s="471" t="s">
        <v>7840</v>
      </c>
      <c r="G300" t="s">
        <v>9347</v>
      </c>
      <c r="H300" s="89" t="s">
        <v>7011</v>
      </c>
      <c r="I300" s="89" t="s">
        <v>6323</v>
      </c>
      <c r="J300" s="89" t="s">
        <v>7363</v>
      </c>
      <c r="K300" s="456" t="s">
        <v>6669</v>
      </c>
    </row>
    <row r="301" spans="1:11" x14ac:dyDescent="0.3">
      <c r="A301" t="s">
        <v>4252</v>
      </c>
      <c r="B301" s="423" t="str">
        <f t="shared" si="8"/>
        <v>metri cubi (m³)</v>
      </c>
      <c r="C301" t="s">
        <v>2762</v>
      </c>
      <c r="D301" s="470" t="s">
        <v>8311</v>
      </c>
      <c r="E301" s="470" t="s">
        <v>8771</v>
      </c>
      <c r="F301" s="471" t="s">
        <v>7841</v>
      </c>
      <c r="G301" t="s">
        <v>9348</v>
      </c>
      <c r="H301" s="89" t="s">
        <v>6027</v>
      </c>
      <c r="I301" s="89" t="s">
        <v>6324</v>
      </c>
      <c r="J301" s="89" t="s">
        <v>5782</v>
      </c>
      <c r="K301" s="456" t="s">
        <v>5782</v>
      </c>
    </row>
    <row r="302" spans="1:11" x14ac:dyDescent="0.3">
      <c r="A302" t="s">
        <v>4253</v>
      </c>
      <c r="B302" s="423" t="str">
        <f t="shared" si="8"/>
        <v>Totale rifiuti non pericolosi generati (volume)</v>
      </c>
      <c r="C302" t="s">
        <v>3612</v>
      </c>
      <c r="D302" s="470" t="s">
        <v>8312</v>
      </c>
      <c r="E302" s="470" t="s">
        <v>8772</v>
      </c>
      <c r="F302" s="471" t="s">
        <v>7842</v>
      </c>
      <c r="G302" t="s">
        <v>9349</v>
      </c>
      <c r="H302" s="89" t="s">
        <v>7012</v>
      </c>
      <c r="I302" s="89" t="s">
        <v>6325</v>
      </c>
      <c r="J302" s="89" t="s">
        <v>7364</v>
      </c>
      <c r="K302" s="456" t="s">
        <v>6670</v>
      </c>
    </row>
    <row r="303" spans="1:11" s="12" customFormat="1" ht="15" thickBot="1" x14ac:dyDescent="0.35">
      <c r="A303" s="12" t="s">
        <v>4254</v>
      </c>
      <c r="B303" s="457" t="str">
        <f t="shared" si="8"/>
        <v>Totale rifiuti generati (volume)</v>
      </c>
      <c r="C303" s="12" t="s">
        <v>3613</v>
      </c>
      <c r="D303" s="478" t="s">
        <v>8313</v>
      </c>
      <c r="E303" s="478" t="s">
        <v>8773</v>
      </c>
      <c r="F303" s="472" t="s">
        <v>7843</v>
      </c>
      <c r="G303" s="12" t="s">
        <v>9350</v>
      </c>
      <c r="H303" s="424" t="s">
        <v>6064</v>
      </c>
      <c r="I303" s="424" t="s">
        <v>6326</v>
      </c>
      <c r="J303" s="424" t="s">
        <v>7365</v>
      </c>
      <c r="K303" s="476" t="s">
        <v>6671</v>
      </c>
    </row>
    <row r="304" spans="1:11" ht="28.8" x14ac:dyDescent="0.3">
      <c r="A304" t="s">
        <v>4255</v>
      </c>
      <c r="B304" s="423" t="str">
        <f t="shared" si="8"/>
        <v>B7 – Flusso di massa annuo dei materiali pertinenti utilizzati</v>
      </c>
      <c r="C304" t="s">
        <v>4020</v>
      </c>
      <c r="D304" s="470" t="s">
        <v>8314</v>
      </c>
      <c r="E304" s="470" t="s">
        <v>8774</v>
      </c>
      <c r="F304" s="471" t="s">
        <v>7844</v>
      </c>
      <c r="G304" t="s">
        <v>9351</v>
      </c>
      <c r="H304" s="89" t="s">
        <v>7013</v>
      </c>
      <c r="I304" s="89" t="s">
        <v>6327</v>
      </c>
      <c r="J304" s="89" t="s">
        <v>7366</v>
      </c>
      <c r="K304" s="456" t="s">
        <v>6672</v>
      </c>
    </row>
    <row r="305" spans="1:11" ht="13.8" customHeight="1" x14ac:dyDescent="0.3">
      <c r="A305" t="s">
        <v>7168</v>
      </c>
      <c r="B305" s="423" t="str">
        <f t="shared" si="8"/>
        <v>L'impresa opera in un settore che utilizza flussi significativi di materiali (ad esempio industria manifatturiera, costruzione, imballaggio o altro)?</v>
      </c>
      <c r="C305" t="s">
        <v>4375</v>
      </c>
      <c r="D305" s="470" t="s">
        <v>8315</v>
      </c>
      <c r="E305" s="470" t="s">
        <v>8775</v>
      </c>
      <c r="F305" s="471" t="s">
        <v>7845</v>
      </c>
      <c r="G305" t="s">
        <v>9352</v>
      </c>
      <c r="H305" s="89" t="s">
        <v>7014</v>
      </c>
      <c r="I305" s="89" t="s">
        <v>6328</v>
      </c>
      <c r="J305" s="89" t="s">
        <v>7367</v>
      </c>
      <c r="K305" s="456" t="s">
        <v>6673</v>
      </c>
    </row>
    <row r="306" spans="1:11" x14ac:dyDescent="0.3">
      <c r="A306" t="s">
        <v>4256</v>
      </c>
      <c r="B306" s="423" t="str">
        <f t="shared" si="8"/>
        <v>Nome del materiale chiave</v>
      </c>
      <c r="C306" t="s">
        <v>2759</v>
      </c>
      <c r="D306" s="470" t="s">
        <v>8316</v>
      </c>
      <c r="E306" s="470" t="s">
        <v>8776</v>
      </c>
      <c r="F306" s="471" t="s">
        <v>7846</v>
      </c>
      <c r="G306" t="s">
        <v>9353</v>
      </c>
      <c r="H306" s="89" t="s">
        <v>7015</v>
      </c>
      <c r="I306" s="89" t="s">
        <v>5959</v>
      </c>
      <c r="J306" s="89" t="s">
        <v>7368</v>
      </c>
      <c r="K306" s="456" t="s">
        <v>5783</v>
      </c>
    </row>
    <row r="307" spans="1:11" x14ac:dyDescent="0.3">
      <c r="A307" t="s">
        <v>4257</v>
      </c>
      <c r="B307" s="423" t="str">
        <f>INDEX(C307:K307,MATCH(template_selected_display_language,$C$3:$K$3,0))</f>
        <v>Massa / Volume</v>
      </c>
      <c r="C307" t="s">
        <v>9532</v>
      </c>
      <c r="D307" s="470" t="s">
        <v>8317</v>
      </c>
      <c r="E307" s="470" t="s">
        <v>9533</v>
      </c>
      <c r="F307" s="471" t="s">
        <v>7847</v>
      </c>
      <c r="G307" t="s">
        <v>9534</v>
      </c>
      <c r="H307" s="89" t="s">
        <v>7016</v>
      </c>
      <c r="I307" s="89" t="s">
        <v>9536</v>
      </c>
      <c r="J307" s="89" t="s">
        <v>9534</v>
      </c>
      <c r="K307" s="456" t="s">
        <v>9535</v>
      </c>
    </row>
    <row r="308" spans="1:11" ht="28.8" x14ac:dyDescent="0.3">
      <c r="A308" t="s">
        <v>4258</v>
      </c>
      <c r="B308" s="423" t="str">
        <f t="shared" si="8"/>
        <v>Flusso di massa annuo totale dei materiali pertinenti utilizzati (massa in kg)</v>
      </c>
      <c r="C308" t="s">
        <v>2763</v>
      </c>
      <c r="D308" s="470" t="s">
        <v>8318</v>
      </c>
      <c r="E308" s="470" t="s">
        <v>8777</v>
      </c>
      <c r="F308" s="471" t="s">
        <v>7848</v>
      </c>
      <c r="G308" t="s">
        <v>9354</v>
      </c>
      <c r="H308" s="89" t="s">
        <v>7017</v>
      </c>
      <c r="I308" s="89" t="s">
        <v>6329</v>
      </c>
      <c r="J308" s="89" t="s">
        <v>7369</v>
      </c>
      <c r="K308" s="456" t="s">
        <v>6674</v>
      </c>
    </row>
    <row r="309" spans="1:11" x14ac:dyDescent="0.3">
      <c r="A309" t="s">
        <v>4259</v>
      </c>
      <c r="B309" s="423" t="str">
        <f t="shared" si="8"/>
        <v>chilogrammi (kg)</v>
      </c>
      <c r="C309" t="s">
        <v>2757</v>
      </c>
      <c r="D309" s="470" t="s">
        <v>8319</v>
      </c>
      <c r="E309" s="470" t="s">
        <v>8778</v>
      </c>
      <c r="F309" s="471" t="s">
        <v>7849</v>
      </c>
      <c r="G309" t="s">
        <v>9355</v>
      </c>
      <c r="H309" s="89" t="s">
        <v>6028</v>
      </c>
      <c r="I309" s="89" t="s">
        <v>5819</v>
      </c>
      <c r="J309" s="89" t="s">
        <v>5876</v>
      </c>
      <c r="K309" s="456" t="s">
        <v>5784</v>
      </c>
    </row>
    <row r="310" spans="1:11" s="12" customFormat="1" ht="29.4" thickBot="1" x14ac:dyDescent="0.35">
      <c r="A310" s="12" t="s">
        <v>4260</v>
      </c>
      <c r="B310" s="457" t="str">
        <f t="shared" si="8"/>
        <v>Flusso di massa annuo totale dei materiali pertinenti utilizzati (volume in m³)</v>
      </c>
      <c r="C310" s="12" t="s">
        <v>3983</v>
      </c>
      <c r="D310" s="478" t="s">
        <v>8320</v>
      </c>
      <c r="E310" s="478" t="s">
        <v>8779</v>
      </c>
      <c r="F310" s="472" t="s">
        <v>7850</v>
      </c>
      <c r="G310" s="12" t="s">
        <v>9356</v>
      </c>
      <c r="H310" s="424" t="s">
        <v>7018</v>
      </c>
      <c r="I310" s="424" t="s">
        <v>6330</v>
      </c>
      <c r="J310" s="424" t="s">
        <v>7370</v>
      </c>
      <c r="K310" s="476" t="s">
        <v>6675</v>
      </c>
    </row>
    <row r="311" spans="1:11" x14ac:dyDescent="0.3">
      <c r="A311" t="s">
        <v>4261</v>
      </c>
      <c r="B311" s="423" t="str">
        <f t="shared" si="8"/>
        <v>C4 – Rischi climatici</v>
      </c>
      <c r="C311" t="s">
        <v>20</v>
      </c>
      <c r="D311" s="470" t="s">
        <v>8321</v>
      </c>
      <c r="E311" s="470" t="s">
        <v>8581</v>
      </c>
      <c r="F311" s="471" t="s">
        <v>7851</v>
      </c>
      <c r="G311" t="s">
        <v>9357</v>
      </c>
      <c r="H311" s="89" t="s">
        <v>7019</v>
      </c>
      <c r="I311" s="89" t="s">
        <v>6331</v>
      </c>
      <c r="J311" s="89" t="s">
        <v>7226</v>
      </c>
      <c r="K311" s="456" t="s">
        <v>5785</v>
      </c>
    </row>
    <row r="312" spans="1:11" ht="57.6" x14ac:dyDescent="0.3">
      <c r="A312" t="s">
        <v>4262</v>
      </c>
      <c r="B312" s="423" t="str">
        <f t="shared" si="8"/>
        <v xml:space="preserve">L'impresa ha individuato pericoli legati al clima ed eventi di transizione legati al clima che creano nei confronti dell'impresa rischi lordi legati al clima?
</v>
      </c>
      <c r="C312" t="s">
        <v>4043</v>
      </c>
      <c r="D312" s="470" t="s">
        <v>8322</v>
      </c>
      <c r="E312" s="470" t="s">
        <v>8780</v>
      </c>
      <c r="F312" s="471" t="s">
        <v>7852</v>
      </c>
      <c r="G312" t="s">
        <v>9358</v>
      </c>
      <c r="H312" s="89" t="s">
        <v>7020</v>
      </c>
      <c r="I312" s="89" t="s">
        <v>6332</v>
      </c>
      <c r="J312" s="89" t="s">
        <v>7371</v>
      </c>
      <c r="K312" s="456" t="s">
        <v>6676</v>
      </c>
    </row>
    <row r="313" spans="1:11" ht="28.8" x14ac:dyDescent="0.3">
      <c r="A313" t="s">
        <v>4263</v>
      </c>
      <c r="B313" s="423" t="str">
        <f t="shared" si="8"/>
        <v>Descrizione dei pericoli ed eventi di transizione legati al clima</v>
      </c>
      <c r="C313" t="s">
        <v>3550</v>
      </c>
      <c r="D313" s="470" t="s">
        <v>8323</v>
      </c>
      <c r="E313" s="470" t="s">
        <v>8781</v>
      </c>
      <c r="F313" s="471" t="s">
        <v>7853</v>
      </c>
      <c r="G313" t="s">
        <v>9359</v>
      </c>
      <c r="H313" s="89" t="s">
        <v>7021</v>
      </c>
      <c r="I313" s="89" t="s">
        <v>6333</v>
      </c>
      <c r="J313" s="89" t="s">
        <v>7372</v>
      </c>
      <c r="K313" s="456" t="s">
        <v>6677</v>
      </c>
    </row>
    <row r="314" spans="1:11" ht="57.6" x14ac:dyDescent="0.3">
      <c r="A314" t="s">
        <v>4264</v>
      </c>
      <c r="B314" s="423" t="str">
        <f t="shared" si="8"/>
        <v>Comunicazione del modo in cui ha valutato l'esposizione e la sensibilità dei suoi attivi, delle sue attività e della sua catena del valore a tali pericoli ed eventi di transizione</v>
      </c>
      <c r="C314" t="s">
        <v>4044</v>
      </c>
      <c r="D314" s="470" t="s">
        <v>8324</v>
      </c>
      <c r="E314" s="470" t="s">
        <v>8782</v>
      </c>
      <c r="F314" s="471" t="s">
        <v>7854</v>
      </c>
      <c r="G314" t="s">
        <v>9360</v>
      </c>
      <c r="H314" s="89" t="s">
        <v>7022</v>
      </c>
      <c r="I314" s="89" t="s">
        <v>6334</v>
      </c>
      <c r="J314" s="89" t="s">
        <v>7373</v>
      </c>
      <c r="K314" s="456" t="s">
        <v>6678</v>
      </c>
    </row>
    <row r="315" spans="1:11" ht="28.8" x14ac:dyDescent="0.3">
      <c r="A315" t="s">
        <v>4265</v>
      </c>
      <c r="B315" s="423" t="str">
        <f t="shared" si="8"/>
        <v>Orizzonti temporali di eventuali pericoli ed eventi di transizione legati al clima individuati</v>
      </c>
      <c r="C315" t="s">
        <v>21</v>
      </c>
      <c r="D315" s="470" t="s">
        <v>8325</v>
      </c>
      <c r="E315" s="470" t="s">
        <v>8783</v>
      </c>
      <c r="F315" s="471" t="s">
        <v>7855</v>
      </c>
      <c r="G315" t="s">
        <v>9361</v>
      </c>
      <c r="H315" s="89" t="s">
        <v>7023</v>
      </c>
      <c r="I315" s="89" t="s">
        <v>6335</v>
      </c>
      <c r="J315" s="89" t="s">
        <v>7374</v>
      </c>
      <c r="K315" s="456" t="s">
        <v>5786</v>
      </c>
    </row>
    <row r="316" spans="1:11" ht="43.2" x14ac:dyDescent="0.3">
      <c r="A316" t="s">
        <v>4266</v>
      </c>
      <c r="B316" s="423" t="str">
        <f t="shared" si="8"/>
        <v>Comunicazione se ha intrapreso azioni di adattamento ai cambiamenti climatici per eventuali pericoli ed eventi di transizione legati al clima</v>
      </c>
      <c r="C316" t="s">
        <v>3614</v>
      </c>
      <c r="D316" s="470" t="s">
        <v>8326</v>
      </c>
      <c r="E316" s="480" t="s">
        <v>8784</v>
      </c>
      <c r="F316" s="471" t="s">
        <v>7856</v>
      </c>
      <c r="G316" t="s">
        <v>9362</v>
      </c>
      <c r="H316" s="89" t="s">
        <v>7024</v>
      </c>
      <c r="I316" s="89" t="s">
        <v>6336</v>
      </c>
      <c r="J316" s="89" t="s">
        <v>7375</v>
      </c>
      <c r="K316" s="456" t="s">
        <v>6679</v>
      </c>
    </row>
    <row r="317" spans="1:11" ht="72" x14ac:dyDescent="0.3">
      <c r="A317" t="s">
        <v>4267</v>
      </c>
      <c r="B317" s="423" t="str">
        <f t="shared" si="8"/>
        <v>L'impresa può segnalare i potenziali effetti negativi dei rischi climatici che potrebbero incidere sui suoi risultati finanziari o sulle sue operazioni aziendali a breve, medio o lungo termine, precisando se reputa che i rischi siano elevati, medi o bassi.</v>
      </c>
      <c r="C317" t="s">
        <v>4045</v>
      </c>
      <c r="D317" s="470" t="s">
        <v>8327</v>
      </c>
      <c r="E317" s="470" t="s">
        <v>8785</v>
      </c>
      <c r="F317" s="471" t="s">
        <v>7857</v>
      </c>
      <c r="G317" t="s">
        <v>9363</v>
      </c>
      <c r="H317" s="89" t="s">
        <v>7025</v>
      </c>
      <c r="I317" s="89" t="s">
        <v>6337</v>
      </c>
      <c r="J317" s="89" t="s">
        <v>7376</v>
      </c>
      <c r="K317" s="456" t="s">
        <v>6680</v>
      </c>
    </row>
    <row r="318" spans="1:11" s="12" customFormat="1" ht="29.4" thickBot="1" x14ac:dyDescent="0.35">
      <c r="A318" s="12" t="s">
        <v>4268</v>
      </c>
      <c r="B318" s="457" t="str">
        <f t="shared" si="8"/>
        <v>Comunicazione di qualsiasi altra informativa ambientale e/o specifica per soggetto</v>
      </c>
      <c r="C318" s="12" t="s">
        <v>3997</v>
      </c>
      <c r="D318" s="478" t="s">
        <v>8328</v>
      </c>
      <c r="E318" s="478" t="s">
        <v>8588</v>
      </c>
      <c r="F318" s="472" t="s">
        <v>7858</v>
      </c>
      <c r="G318" s="12" t="s">
        <v>9364</v>
      </c>
      <c r="H318" s="424" t="s">
        <v>7026</v>
      </c>
      <c r="I318" s="424" t="s">
        <v>6338</v>
      </c>
      <c r="J318" s="424" t="s">
        <v>7377</v>
      </c>
      <c r="K318" s="476" t="s">
        <v>6501</v>
      </c>
    </row>
    <row r="319" spans="1:11" ht="43.2" x14ac:dyDescent="0.3">
      <c r="A319" t="s">
        <v>4269</v>
      </c>
      <c r="B319" s="423" t="str">
        <f t="shared" si="8"/>
        <v>Metodologia di conteggio dei dipendenti per le informative seguenti (effettivi o equivalenti a tempo pieno collegati da B1)</v>
      </c>
      <c r="C319" t="s">
        <v>4046</v>
      </c>
      <c r="D319" s="470" t="s">
        <v>8329</v>
      </c>
      <c r="E319" s="470" t="s">
        <v>8786</v>
      </c>
      <c r="F319" s="471" t="s">
        <v>7859</v>
      </c>
      <c r="G319" t="s">
        <v>9365</v>
      </c>
      <c r="H319" s="89" t="s">
        <v>7027</v>
      </c>
      <c r="I319" s="89" t="s">
        <v>6339</v>
      </c>
      <c r="J319" s="89" t="s">
        <v>7378</v>
      </c>
      <c r="K319" s="456" t="s">
        <v>6681</v>
      </c>
    </row>
    <row r="320" spans="1:11" s="12" customFormat="1" ht="58.2" thickBot="1" x14ac:dyDescent="0.35">
      <c r="A320" s="12" t="s">
        <v>4270</v>
      </c>
      <c r="B320" s="457" t="str">
        <f t="shared" si="8"/>
        <v>Metodologia di conteggio dei dipendenti per le informative seguenti (Alla fine del periodo di riferimento o come media nel periodo di riferimento collegata da B1)</v>
      </c>
      <c r="C320" s="12" t="s">
        <v>4060</v>
      </c>
      <c r="D320" s="478" t="s">
        <v>8330</v>
      </c>
      <c r="E320" s="478" t="s">
        <v>8787</v>
      </c>
      <c r="F320" s="472" t="s">
        <v>7860</v>
      </c>
      <c r="G320" s="12" t="s">
        <v>9366</v>
      </c>
      <c r="H320" s="424" t="s">
        <v>7028</v>
      </c>
      <c r="I320" s="424" t="s">
        <v>6340</v>
      </c>
      <c r="J320" s="424" t="s">
        <v>7379</v>
      </c>
      <c r="K320" s="476" t="s">
        <v>6682</v>
      </c>
    </row>
    <row r="321" spans="1:11" ht="28.8" x14ac:dyDescent="0.3">
      <c r="A321" t="s">
        <v>4271</v>
      </c>
      <c r="B321" s="423" t="str">
        <f t="shared" si="8"/>
        <v>B8 – Forza lavoro – Caratteristiche generali - Tipo di contratto</v>
      </c>
      <c r="C321" t="s">
        <v>4021</v>
      </c>
      <c r="D321" s="470" t="s">
        <v>8331</v>
      </c>
      <c r="E321" s="470" t="s">
        <v>8788</v>
      </c>
      <c r="F321" s="471" t="s">
        <v>7861</v>
      </c>
      <c r="G321" t="s">
        <v>9367</v>
      </c>
      <c r="H321" s="89" t="s">
        <v>7029</v>
      </c>
      <c r="I321" s="89" t="s">
        <v>6341</v>
      </c>
      <c r="J321" s="89" t="s">
        <v>7380</v>
      </c>
      <c r="K321" s="456" t="s">
        <v>6506</v>
      </c>
    </row>
    <row r="322" spans="1:11" x14ac:dyDescent="0.3">
      <c r="A322" t="s">
        <v>4272</v>
      </c>
      <c r="B322" s="423" t="str">
        <f t="shared" si="8"/>
        <v>Tipo di contratto</v>
      </c>
      <c r="C322" t="s">
        <v>22</v>
      </c>
      <c r="D322" s="470" t="s">
        <v>8332</v>
      </c>
      <c r="E322" s="470" t="s">
        <v>8570</v>
      </c>
      <c r="F322" s="471" t="s">
        <v>7862</v>
      </c>
      <c r="G322" t="s">
        <v>9138</v>
      </c>
      <c r="H322" s="89" t="s">
        <v>6854</v>
      </c>
      <c r="I322" s="89" t="s">
        <v>5915</v>
      </c>
      <c r="J322" s="89" t="s">
        <v>5717</v>
      </c>
      <c r="K322" s="456" t="s">
        <v>5717</v>
      </c>
    </row>
    <row r="323" spans="1:11" x14ac:dyDescent="0.3">
      <c r="A323" t="s">
        <v>4273</v>
      </c>
      <c r="B323" s="423" t="str">
        <f t="shared" si="8"/>
        <v xml:space="preserve">Contratto permanente
</v>
      </c>
      <c r="C323" t="s">
        <v>24</v>
      </c>
      <c r="D323" s="470" t="s">
        <v>8333</v>
      </c>
      <c r="E323" s="470" t="s">
        <v>8789</v>
      </c>
      <c r="F323" s="471" t="s">
        <v>7863</v>
      </c>
      <c r="G323" t="s">
        <v>9368</v>
      </c>
      <c r="H323" s="89" t="s">
        <v>6029</v>
      </c>
      <c r="I323" s="89" t="s">
        <v>5960</v>
      </c>
      <c r="J323" s="89" t="s">
        <v>7381</v>
      </c>
      <c r="K323" s="456" t="s">
        <v>5787</v>
      </c>
    </row>
    <row r="324" spans="1:11" x14ac:dyDescent="0.3">
      <c r="A324" t="s">
        <v>4274</v>
      </c>
      <c r="B324" s="423" t="str">
        <f t="shared" ref="B324:B387" si="9">INDEX(C324:K324,MATCH(template_selected_display_language,$C$3:$K$3,0))</f>
        <v>Contratto temporaneo</v>
      </c>
      <c r="C324" t="s">
        <v>23</v>
      </c>
      <c r="D324" s="470" t="s">
        <v>8334</v>
      </c>
      <c r="E324" s="470" t="s">
        <v>8790</v>
      </c>
      <c r="F324" s="471" t="s">
        <v>7864</v>
      </c>
      <c r="G324" t="s">
        <v>9369</v>
      </c>
      <c r="H324" s="89" t="s">
        <v>7030</v>
      </c>
      <c r="I324" s="89" t="s">
        <v>6075</v>
      </c>
      <c r="J324" s="89" t="s">
        <v>7382</v>
      </c>
      <c r="K324" s="456" t="s">
        <v>5788</v>
      </c>
    </row>
    <row r="325" spans="1:11" s="12" customFormat="1" ht="15" thickBot="1" x14ac:dyDescent="0.35">
      <c r="A325" s="12" t="s">
        <v>4275</v>
      </c>
      <c r="B325" s="457" t="str">
        <f t="shared" si="9"/>
        <v>Totale dipendenti (collegato a B1)</v>
      </c>
      <c r="C325" s="12" t="s">
        <v>4499</v>
      </c>
      <c r="D325" s="478" t="s">
        <v>8335</v>
      </c>
      <c r="E325" s="478" t="s">
        <v>8791</v>
      </c>
      <c r="F325" s="472" t="s">
        <v>7865</v>
      </c>
      <c r="G325" s="12" t="s">
        <v>9370</v>
      </c>
      <c r="H325" s="424" t="s">
        <v>7031</v>
      </c>
      <c r="I325" s="424" t="s">
        <v>6342</v>
      </c>
      <c r="J325" s="424" t="s">
        <v>7383</v>
      </c>
      <c r="K325" s="476" t="s">
        <v>6683</v>
      </c>
    </row>
    <row r="326" spans="1:11" x14ac:dyDescent="0.3">
      <c r="A326" t="s">
        <v>4276</v>
      </c>
      <c r="B326" s="423" t="str">
        <f t="shared" si="9"/>
        <v xml:space="preserve">B8 – Forza lavoro – Caratteristiche generali - Genere
</v>
      </c>
      <c r="C326" t="s">
        <v>4022</v>
      </c>
      <c r="D326" s="470" t="s">
        <v>8336</v>
      </c>
      <c r="E326" s="470" t="s">
        <v>8792</v>
      </c>
      <c r="F326" s="471" t="s">
        <v>7866</v>
      </c>
      <c r="G326" t="s">
        <v>9371</v>
      </c>
      <c r="H326" s="89" t="s">
        <v>7032</v>
      </c>
      <c r="I326" s="89" t="s">
        <v>6343</v>
      </c>
      <c r="J326" s="89" t="s">
        <v>7384</v>
      </c>
      <c r="K326" s="456" t="s">
        <v>6684</v>
      </c>
    </row>
    <row r="327" spans="1:11" x14ac:dyDescent="0.3">
      <c r="A327" t="s">
        <v>4277</v>
      </c>
      <c r="B327" s="423" t="str">
        <f t="shared" si="9"/>
        <v>Genere</v>
      </c>
      <c r="C327" t="s">
        <v>25</v>
      </c>
      <c r="D327" s="470" t="s">
        <v>8100</v>
      </c>
      <c r="E327" s="470" t="s">
        <v>8571</v>
      </c>
      <c r="F327" s="471" t="s">
        <v>7630</v>
      </c>
      <c r="G327" t="s">
        <v>9139</v>
      </c>
      <c r="H327" s="89" t="s">
        <v>5996</v>
      </c>
      <c r="I327" s="89" t="s">
        <v>5916</v>
      </c>
      <c r="J327" s="89" t="s">
        <v>5718</v>
      </c>
      <c r="K327" s="456" t="s">
        <v>5718</v>
      </c>
    </row>
    <row r="328" spans="1:11" x14ac:dyDescent="0.3">
      <c r="A328" t="s">
        <v>4278</v>
      </c>
      <c r="B328" s="423" t="str">
        <f t="shared" si="9"/>
        <v>Uomini</v>
      </c>
      <c r="C328" t="s">
        <v>26</v>
      </c>
      <c r="D328" s="470" t="s">
        <v>8337</v>
      </c>
      <c r="E328" s="470" t="s">
        <v>8793</v>
      </c>
      <c r="F328" s="471" t="s">
        <v>7867</v>
      </c>
      <c r="G328" t="s">
        <v>9372</v>
      </c>
      <c r="H328" s="89" t="s">
        <v>7033</v>
      </c>
      <c r="I328" s="89" t="s">
        <v>5961</v>
      </c>
      <c r="J328" s="89" t="s">
        <v>5789</v>
      </c>
      <c r="K328" s="456" t="s">
        <v>5789</v>
      </c>
    </row>
    <row r="329" spans="1:11" x14ac:dyDescent="0.3">
      <c r="A329" t="s">
        <v>4279</v>
      </c>
      <c r="B329" s="423" t="str">
        <f t="shared" si="9"/>
        <v>Donne</v>
      </c>
      <c r="C329" t="s">
        <v>27</v>
      </c>
      <c r="D329" s="470" t="s">
        <v>8338</v>
      </c>
      <c r="E329" s="470" t="s">
        <v>8794</v>
      </c>
      <c r="F329" s="471" t="s">
        <v>7868</v>
      </c>
      <c r="G329" t="s">
        <v>9373</v>
      </c>
      <c r="H329" s="89" t="s">
        <v>7034</v>
      </c>
      <c r="I329" s="89" t="s">
        <v>5962</v>
      </c>
      <c r="J329" s="89" t="s">
        <v>7385</v>
      </c>
      <c r="K329" s="456" t="s">
        <v>6685</v>
      </c>
    </row>
    <row r="330" spans="1:11" x14ac:dyDescent="0.3">
      <c r="A330" t="s">
        <v>4280</v>
      </c>
      <c r="B330" s="423" t="str">
        <f t="shared" si="9"/>
        <v>Altro</v>
      </c>
      <c r="C330" t="s">
        <v>28</v>
      </c>
      <c r="D330" s="470" t="s">
        <v>8339</v>
      </c>
      <c r="E330" s="470" t="s">
        <v>8795</v>
      </c>
      <c r="F330" s="471" t="s">
        <v>7869</v>
      </c>
      <c r="G330" t="s">
        <v>9374</v>
      </c>
      <c r="H330" s="89" t="s">
        <v>7035</v>
      </c>
      <c r="I330" s="89" t="s">
        <v>6344</v>
      </c>
      <c r="J330" s="89" t="s">
        <v>5877</v>
      </c>
      <c r="K330" s="456" t="s">
        <v>5790</v>
      </c>
    </row>
    <row r="331" spans="1:11" s="12" customFormat="1" ht="15" thickBot="1" x14ac:dyDescent="0.35">
      <c r="A331" s="12" t="s">
        <v>4281</v>
      </c>
      <c r="B331" s="457" t="str">
        <f t="shared" si="9"/>
        <v>Non comunicato</v>
      </c>
      <c r="C331" s="12" t="s">
        <v>29</v>
      </c>
      <c r="D331" s="478" t="s">
        <v>8340</v>
      </c>
      <c r="E331" s="478" t="s">
        <v>8796</v>
      </c>
      <c r="F331" s="472" t="s">
        <v>7870</v>
      </c>
      <c r="G331" s="12" t="s">
        <v>9375</v>
      </c>
      <c r="H331" s="424" t="s">
        <v>7036</v>
      </c>
      <c r="I331" s="424" t="s">
        <v>5963</v>
      </c>
      <c r="J331" s="424" t="s">
        <v>7386</v>
      </c>
      <c r="K331" s="476" t="s">
        <v>6491</v>
      </c>
    </row>
    <row r="332" spans="1:11" ht="28.8" x14ac:dyDescent="0.3">
      <c r="A332" t="s">
        <v>4282</v>
      </c>
      <c r="B332" s="423" t="str">
        <f t="shared" si="9"/>
        <v>B8 – Forza lavoro – Caratteristiche generali - Paese del contratto di lavoro</v>
      </c>
      <c r="C332" t="s">
        <v>4023</v>
      </c>
      <c r="D332" s="470" t="s">
        <v>8341</v>
      </c>
      <c r="E332" s="470" t="s">
        <v>8797</v>
      </c>
      <c r="F332" s="471" t="s">
        <v>7871</v>
      </c>
      <c r="G332" t="s">
        <v>9376</v>
      </c>
      <c r="H332" s="89" t="s">
        <v>7037</v>
      </c>
      <c r="I332" s="89" t="s">
        <v>6345</v>
      </c>
      <c r="J332" s="89" t="s">
        <v>7387</v>
      </c>
      <c r="K332" s="456" t="s">
        <v>6686</v>
      </c>
    </row>
    <row r="333" spans="1:11" ht="43.2" x14ac:dyDescent="0.3">
      <c r="A333" t="s">
        <v>4283</v>
      </c>
      <c r="B333" s="423" t="str">
        <f t="shared" si="9"/>
        <v>Paese del contratto di lavoro</v>
      </c>
      <c r="C333" t="s">
        <v>30</v>
      </c>
      <c r="D333" s="470" t="s">
        <v>8342</v>
      </c>
      <c r="E333" s="470" t="s">
        <v>8572</v>
      </c>
      <c r="F333" s="471" t="s">
        <v>7631</v>
      </c>
      <c r="G333" t="s">
        <v>9140</v>
      </c>
      <c r="H333" s="89" t="s">
        <v>7038</v>
      </c>
      <c r="I333" s="89" t="s">
        <v>6346</v>
      </c>
      <c r="J333" s="89" t="s">
        <v>5878</v>
      </c>
      <c r="K333" s="456" t="s">
        <v>6687</v>
      </c>
    </row>
    <row r="334" spans="1:11" s="12" customFormat="1" ht="29.4" thickBot="1" x14ac:dyDescent="0.35">
      <c r="A334" s="12" t="s">
        <v>5683</v>
      </c>
      <c r="B334" s="457" t="str">
        <f t="shared" si="9"/>
        <v>La società opera in più di un paese?</v>
      </c>
      <c r="C334" s="12" t="s">
        <v>5682</v>
      </c>
      <c r="D334" s="478" t="s">
        <v>8343</v>
      </c>
      <c r="E334" s="478" t="s">
        <v>8798</v>
      </c>
      <c r="F334" s="472" t="s">
        <v>7872</v>
      </c>
      <c r="G334" s="12" t="s">
        <v>9377</v>
      </c>
      <c r="H334" s="424" t="s">
        <v>6030</v>
      </c>
      <c r="I334" s="424" t="s">
        <v>6347</v>
      </c>
      <c r="J334" s="424" t="s">
        <v>5879</v>
      </c>
      <c r="K334" s="476" t="s">
        <v>5791</v>
      </c>
    </row>
    <row r="335" spans="1:11" ht="28.8" x14ac:dyDescent="0.3">
      <c r="A335" t="s">
        <v>4284</v>
      </c>
      <c r="B335" s="423" t="str">
        <f t="shared" si="9"/>
        <v>B8 – Forza lavoro – Caratteristiche generali - Tasso di avvicendamento</v>
      </c>
      <c r="C335" t="s">
        <v>4024</v>
      </c>
      <c r="D335" s="470" t="s">
        <v>8344</v>
      </c>
      <c r="E335" s="470" t="s">
        <v>8799</v>
      </c>
      <c r="F335" s="471" t="s">
        <v>7873</v>
      </c>
      <c r="G335" t="s">
        <v>9378</v>
      </c>
      <c r="H335" s="89" t="s">
        <v>7039</v>
      </c>
      <c r="I335" s="89" t="s">
        <v>6348</v>
      </c>
      <c r="J335" s="89" t="s">
        <v>7388</v>
      </c>
      <c r="K335" s="456" t="s">
        <v>6688</v>
      </c>
    </row>
    <row r="336" spans="1:11" ht="28.8" x14ac:dyDescent="0.3">
      <c r="A336" t="s">
        <v>4285</v>
      </c>
      <c r="B336" s="423" t="str">
        <f t="shared" si="9"/>
        <v xml:space="preserve">Numero di dipendenti che hanno lasciato l'impresa durante l'anno di riferimento
</v>
      </c>
      <c r="C336" t="s">
        <v>3103</v>
      </c>
      <c r="D336" s="470" t="s">
        <v>8345</v>
      </c>
      <c r="E336" s="470" t="s">
        <v>8800</v>
      </c>
      <c r="F336" s="471" t="s">
        <v>7874</v>
      </c>
      <c r="G336" t="s">
        <v>9379</v>
      </c>
      <c r="H336" s="89" t="s">
        <v>7040</v>
      </c>
      <c r="I336" s="89" t="s">
        <v>6349</v>
      </c>
      <c r="J336" s="89" t="s">
        <v>7389</v>
      </c>
      <c r="K336" s="456" t="s">
        <v>6689</v>
      </c>
    </row>
    <row r="337" spans="1:11" x14ac:dyDescent="0.3">
      <c r="A337" t="s">
        <v>4286</v>
      </c>
      <c r="B337" s="423" t="str">
        <f t="shared" si="9"/>
        <v>Numero di dipendenti all'inizio dell'anno di riferimento</v>
      </c>
      <c r="C337" t="s">
        <v>3104</v>
      </c>
      <c r="D337" s="470" t="s">
        <v>8346</v>
      </c>
      <c r="E337" s="470" t="s">
        <v>8801</v>
      </c>
      <c r="F337" s="471" t="s">
        <v>7875</v>
      </c>
      <c r="G337" t="s">
        <v>9380</v>
      </c>
      <c r="H337" s="89" t="s">
        <v>6031</v>
      </c>
      <c r="I337" s="89" t="s">
        <v>6350</v>
      </c>
      <c r="J337" s="89" t="s">
        <v>7390</v>
      </c>
      <c r="K337" s="456" t="s">
        <v>6690</v>
      </c>
    </row>
    <row r="338" spans="1:11" x14ac:dyDescent="0.3">
      <c r="A338" t="s">
        <v>4287</v>
      </c>
      <c r="B338" s="423" t="str">
        <f t="shared" si="9"/>
        <v>Numero di dipendenti alla fine dell'anno di riferimento</v>
      </c>
      <c r="C338" t="s">
        <v>3105</v>
      </c>
      <c r="D338" s="470" t="s">
        <v>8347</v>
      </c>
      <c r="E338" s="470" t="s">
        <v>8802</v>
      </c>
      <c r="F338" s="471" t="s">
        <v>7876</v>
      </c>
      <c r="G338" t="s">
        <v>9381</v>
      </c>
      <c r="H338" s="89" t="s">
        <v>6032</v>
      </c>
      <c r="I338" s="89" t="s">
        <v>6351</v>
      </c>
      <c r="J338" s="89" t="s">
        <v>7391</v>
      </c>
      <c r="K338" s="456" t="s">
        <v>6691</v>
      </c>
    </row>
    <row r="339" spans="1:11" s="12" customFormat="1" ht="43.8" thickBot="1" x14ac:dyDescent="0.35">
      <c r="A339" s="12" t="s">
        <v>4288</v>
      </c>
      <c r="B339" s="457" t="str">
        <f t="shared" si="9"/>
        <v xml:space="preserve">Tasso di avvicendamento dei dipendenti [%] nell'anno di riferimento
</v>
      </c>
      <c r="C339" s="12" t="s">
        <v>3549</v>
      </c>
      <c r="D339" s="478" t="s">
        <v>8348</v>
      </c>
      <c r="E339" s="478" t="s">
        <v>8803</v>
      </c>
      <c r="F339" s="472" t="s">
        <v>7877</v>
      </c>
      <c r="G339" s="12" t="s">
        <v>9382</v>
      </c>
      <c r="H339" s="424" t="s">
        <v>6033</v>
      </c>
      <c r="I339" s="424" t="s">
        <v>6352</v>
      </c>
      <c r="J339" s="424" t="s">
        <v>7392</v>
      </c>
      <c r="K339" s="476" t="s">
        <v>6692</v>
      </c>
    </row>
    <row r="340" spans="1:11" ht="43.2" x14ac:dyDescent="0.3">
      <c r="A340" t="s">
        <v>4289</v>
      </c>
      <c r="B340" s="423" t="str">
        <f t="shared" si="9"/>
        <v>B9 – Forza lavoro – Salute e sicurezza</v>
      </c>
      <c r="C340" t="s">
        <v>31</v>
      </c>
      <c r="D340" s="470" t="s">
        <v>8349</v>
      </c>
      <c r="E340" s="470" t="s">
        <v>8574</v>
      </c>
      <c r="F340" s="471" t="s">
        <v>7878</v>
      </c>
      <c r="G340" t="s">
        <v>9383</v>
      </c>
      <c r="H340" s="89" t="s">
        <v>7041</v>
      </c>
      <c r="I340" s="89" t="s">
        <v>6353</v>
      </c>
      <c r="J340" s="89" t="s">
        <v>7220</v>
      </c>
      <c r="K340" s="456" t="s">
        <v>6693</v>
      </c>
    </row>
    <row r="341" spans="1:11" ht="28.8" x14ac:dyDescent="0.3">
      <c r="A341" t="s">
        <v>4290</v>
      </c>
      <c r="B341" s="423" t="str">
        <f t="shared" si="9"/>
        <v>Numero di infortuni registrabili connessi al lavoro nel periodo di riferimento</v>
      </c>
      <c r="C341" t="s">
        <v>3106</v>
      </c>
      <c r="D341" s="470" t="s">
        <v>8350</v>
      </c>
      <c r="E341" s="470" t="s">
        <v>8804</v>
      </c>
      <c r="F341" s="471" t="s">
        <v>7879</v>
      </c>
      <c r="G341" t="s">
        <v>9384</v>
      </c>
      <c r="H341" s="89" t="s">
        <v>7042</v>
      </c>
      <c r="I341" s="89" t="s">
        <v>6354</v>
      </c>
      <c r="J341" s="89" t="s">
        <v>7393</v>
      </c>
      <c r="K341" s="456" t="s">
        <v>6507</v>
      </c>
    </row>
    <row r="342" spans="1:11" ht="28.8" x14ac:dyDescent="0.3">
      <c r="A342" t="s">
        <v>4291</v>
      </c>
      <c r="B342" s="423" t="str">
        <f t="shared" si="9"/>
        <v>Ore lavorate da un dipendente a tempo pieno nel periodo di riferimento</v>
      </c>
      <c r="C342" t="s">
        <v>3107</v>
      </c>
      <c r="D342" s="470" t="s">
        <v>8351</v>
      </c>
      <c r="E342" s="470" t="s">
        <v>8805</v>
      </c>
      <c r="F342" s="471" t="s">
        <v>7880</v>
      </c>
      <c r="G342" t="s">
        <v>9385</v>
      </c>
      <c r="H342" s="89" t="s">
        <v>7043</v>
      </c>
      <c r="I342" s="89" t="s">
        <v>6355</v>
      </c>
      <c r="J342" s="89" t="s">
        <v>7394</v>
      </c>
      <c r="K342" s="456" t="s">
        <v>6694</v>
      </c>
    </row>
    <row r="343" spans="1:11" ht="28.8" x14ac:dyDescent="0.3">
      <c r="A343" t="s">
        <v>4292</v>
      </c>
      <c r="B343" s="423" t="str">
        <f t="shared" si="9"/>
        <v>Numero totale di ore lavorate in un anno da tutti i dipendenti nel periodo di riferimento</v>
      </c>
      <c r="C343" t="s">
        <v>3108</v>
      </c>
      <c r="D343" s="470" t="s">
        <v>8352</v>
      </c>
      <c r="E343" s="470" t="s">
        <v>8806</v>
      </c>
      <c r="F343" s="471" t="s">
        <v>7881</v>
      </c>
      <c r="G343" t="s">
        <v>9386</v>
      </c>
      <c r="H343" s="89" t="s">
        <v>7044</v>
      </c>
      <c r="I343" s="89" t="s">
        <v>6356</v>
      </c>
      <c r="J343" s="89" t="s">
        <v>7395</v>
      </c>
      <c r="K343" s="456" t="s">
        <v>6695</v>
      </c>
    </row>
    <row r="344" spans="1:11" ht="28.8" x14ac:dyDescent="0.3">
      <c r="A344" t="s">
        <v>4293</v>
      </c>
      <c r="B344" s="423" t="str">
        <f t="shared" si="9"/>
        <v>Tasso di infortuni registrabili connessi al lavoro nel periodo di riferimento</v>
      </c>
      <c r="C344" t="s">
        <v>3984</v>
      </c>
      <c r="D344" s="470" t="s">
        <v>8353</v>
      </c>
      <c r="E344" s="470" t="s">
        <v>8807</v>
      </c>
      <c r="F344" s="471" t="s">
        <v>7882</v>
      </c>
      <c r="G344" t="s">
        <v>9387</v>
      </c>
      <c r="H344" s="89" t="s">
        <v>7045</v>
      </c>
      <c r="I344" s="89" t="s">
        <v>6357</v>
      </c>
      <c r="J344" s="89" t="s">
        <v>7396</v>
      </c>
      <c r="K344" s="456" t="s">
        <v>6696</v>
      </c>
    </row>
    <row r="345" spans="1:11" s="12" customFormat="1" ht="29.4" thickBot="1" x14ac:dyDescent="0.35">
      <c r="A345" s="12" t="s">
        <v>4294</v>
      </c>
      <c r="B345" s="457" t="str">
        <f t="shared" si="9"/>
        <v>Numero di decessi dovuti a lesioni e malattie connesse al lavoro</v>
      </c>
      <c r="C345" s="12" t="s">
        <v>32</v>
      </c>
      <c r="D345" s="478" t="s">
        <v>8354</v>
      </c>
      <c r="E345" s="478" t="s">
        <v>8808</v>
      </c>
      <c r="F345" s="472" t="s">
        <v>7883</v>
      </c>
      <c r="G345" s="12" t="s">
        <v>9388</v>
      </c>
      <c r="H345" s="424" t="s">
        <v>6034</v>
      </c>
      <c r="I345" s="424" t="s">
        <v>6358</v>
      </c>
      <c r="J345" s="424" t="s">
        <v>7397</v>
      </c>
      <c r="K345" s="476" t="s">
        <v>6697</v>
      </c>
    </row>
    <row r="346" spans="1:11" ht="57.6" x14ac:dyDescent="0.3">
      <c r="A346" t="s">
        <v>4295</v>
      </c>
      <c r="B346" s="423" t="str">
        <f t="shared" si="9"/>
        <v>B10 – Forza lavoro – Retribuzione, contrattazione collettiva e formazione</v>
      </c>
      <c r="C346" t="s">
        <v>4047</v>
      </c>
      <c r="D346" s="470" t="s">
        <v>8355</v>
      </c>
      <c r="E346" s="470" t="s">
        <v>8809</v>
      </c>
      <c r="F346" s="471" t="s">
        <v>7884</v>
      </c>
      <c r="G346" t="s">
        <v>9389</v>
      </c>
      <c r="H346" s="89" t="s">
        <v>7046</v>
      </c>
      <c r="I346" s="89" t="s">
        <v>6177</v>
      </c>
      <c r="J346" s="89" t="s">
        <v>5880</v>
      </c>
      <c r="K346" s="456" t="s">
        <v>6698</v>
      </c>
    </row>
    <row r="347" spans="1:11" ht="57.6" x14ac:dyDescent="0.3">
      <c r="A347" t="s">
        <v>4296</v>
      </c>
      <c r="B347" s="423" t="str">
        <f t="shared" si="9"/>
        <v>I dipendenti percepiscono una retribuzione pari o superiore al salario minimo applicabile, determinato direttamente dal diritto nazionale in matria di salario minimo o mediante contrattazione collettiva.</v>
      </c>
      <c r="C347" t="s">
        <v>3053</v>
      </c>
      <c r="D347" s="470" t="s">
        <v>8356</v>
      </c>
      <c r="E347" s="470" t="s">
        <v>8810</v>
      </c>
      <c r="F347" s="471" t="s">
        <v>7885</v>
      </c>
      <c r="G347" t="s">
        <v>9390</v>
      </c>
      <c r="H347" s="89" t="s">
        <v>7047</v>
      </c>
      <c r="I347" s="89" t="s">
        <v>6359</v>
      </c>
      <c r="J347" s="89" t="s">
        <v>7398</v>
      </c>
      <c r="K347" s="456" t="s">
        <v>6699</v>
      </c>
    </row>
    <row r="348" spans="1:11" ht="28.8" x14ac:dyDescent="0.3">
      <c r="A348" t="s">
        <v>4297</v>
      </c>
      <c r="B348" s="423" t="str">
        <f t="shared" si="9"/>
        <v>Livello di retribuzione oraria lorda media dei dipendenti di sesso maschile</v>
      </c>
      <c r="C348" t="s">
        <v>3999</v>
      </c>
      <c r="D348" s="470" t="s">
        <v>8357</v>
      </c>
      <c r="E348" s="470" t="s">
        <v>8811</v>
      </c>
      <c r="F348" s="471" t="s">
        <v>7886</v>
      </c>
      <c r="G348" t="s">
        <v>9391</v>
      </c>
      <c r="H348" s="89" t="s">
        <v>7048</v>
      </c>
      <c r="I348" s="89" t="s">
        <v>6076</v>
      </c>
      <c r="J348" s="89" t="s">
        <v>7399</v>
      </c>
      <c r="K348" s="456" t="s">
        <v>6700</v>
      </c>
    </row>
    <row r="349" spans="1:11" ht="28.8" x14ac:dyDescent="0.3">
      <c r="A349" t="s">
        <v>4298</v>
      </c>
      <c r="B349" s="423" t="str">
        <f t="shared" si="9"/>
        <v>Livello di retribuzione oraria lorda media dei dipendenti di sesso femminile</v>
      </c>
      <c r="C349" t="s">
        <v>4000</v>
      </c>
      <c r="D349" s="470" t="s">
        <v>8358</v>
      </c>
      <c r="E349" s="470" t="s">
        <v>8812</v>
      </c>
      <c r="F349" s="471" t="s">
        <v>7887</v>
      </c>
      <c r="G349" t="s">
        <v>9392</v>
      </c>
      <c r="H349" s="89" t="s">
        <v>7049</v>
      </c>
      <c r="I349" s="89" t="s">
        <v>6360</v>
      </c>
      <c r="J349" s="89" t="s">
        <v>7400</v>
      </c>
      <c r="K349" s="456" t="s">
        <v>6701</v>
      </c>
    </row>
    <row r="350" spans="1:11" ht="28.8" x14ac:dyDescent="0.3">
      <c r="A350" t="s">
        <v>4299</v>
      </c>
      <c r="B350" s="423" t="str">
        <f t="shared" si="9"/>
        <v>Percentuale del divario retributivo tra dipendenti di sesso femminile e dipendenti di sesso maschile [%]</v>
      </c>
      <c r="C350" t="s">
        <v>4025</v>
      </c>
      <c r="D350" s="470" t="s">
        <v>8359</v>
      </c>
      <c r="E350" s="470" t="s">
        <v>8813</v>
      </c>
      <c r="F350" s="471" t="s">
        <v>7888</v>
      </c>
      <c r="G350" t="s">
        <v>9393</v>
      </c>
      <c r="H350" s="89" t="s">
        <v>7050</v>
      </c>
      <c r="I350" s="89" t="s">
        <v>6361</v>
      </c>
      <c r="J350" s="89" t="s">
        <v>7401</v>
      </c>
      <c r="K350" s="456" t="s">
        <v>6702</v>
      </c>
    </row>
    <row r="351" spans="1:11" ht="28.8" x14ac:dyDescent="0.3">
      <c r="A351" t="s">
        <v>4300</v>
      </c>
      <c r="B351" s="423" t="str">
        <f t="shared" si="9"/>
        <v>Numero di dipendenti coperti da contratti collettivi</v>
      </c>
      <c r="C351" t="s">
        <v>2902</v>
      </c>
      <c r="D351" s="470" t="s">
        <v>8360</v>
      </c>
      <c r="E351" s="470" t="s">
        <v>8814</v>
      </c>
      <c r="F351" s="471" t="s">
        <v>7889</v>
      </c>
      <c r="G351" t="s">
        <v>9394</v>
      </c>
      <c r="H351" s="89" t="s">
        <v>6035</v>
      </c>
      <c r="I351" s="89" t="s">
        <v>5964</v>
      </c>
      <c r="J351" s="89" t="s">
        <v>7402</v>
      </c>
      <c r="K351" s="456" t="s">
        <v>6508</v>
      </c>
    </row>
    <row r="352" spans="1:11" s="12" customFormat="1" ht="29.4" thickBot="1" x14ac:dyDescent="0.35">
      <c r="A352" s="12" t="s">
        <v>4301</v>
      </c>
      <c r="B352" s="457" t="str">
        <f t="shared" si="9"/>
        <v>Percentuale di dipendenti coperti da contratti collettivi [%]</v>
      </c>
      <c r="C352" s="12" t="s">
        <v>3094</v>
      </c>
      <c r="D352" s="478" t="s">
        <v>8361</v>
      </c>
      <c r="E352" s="478" t="s">
        <v>8815</v>
      </c>
      <c r="F352" s="472" t="s">
        <v>7890</v>
      </c>
      <c r="G352" s="12" t="s">
        <v>9395</v>
      </c>
      <c r="H352" s="424" t="s">
        <v>6036</v>
      </c>
      <c r="I352" s="424" t="s">
        <v>5965</v>
      </c>
      <c r="J352" s="424" t="s">
        <v>7403</v>
      </c>
      <c r="K352" s="476" t="s">
        <v>6509</v>
      </c>
    </row>
    <row r="353" spans="1:11" ht="28.8" x14ac:dyDescent="0.3">
      <c r="A353" t="s">
        <v>4302</v>
      </c>
      <c r="B353" s="423" t="str">
        <f t="shared" si="9"/>
        <v>B10 – Numero annuo di ore di formazione per dipendente durante il periodo di riferimento</v>
      </c>
      <c r="C353" t="s">
        <v>7544</v>
      </c>
      <c r="D353" s="470" t="s">
        <v>9527</v>
      </c>
      <c r="E353" s="470" t="s">
        <v>9528</v>
      </c>
      <c r="F353" s="471" t="s">
        <v>9529</v>
      </c>
      <c r="G353" t="s">
        <v>9530</v>
      </c>
      <c r="H353" s="89" t="s">
        <v>7545</v>
      </c>
      <c r="I353" s="89" t="s">
        <v>7546</v>
      </c>
      <c r="J353" s="89" t="s">
        <v>7547</v>
      </c>
      <c r="K353" s="456" t="s">
        <v>7548</v>
      </c>
    </row>
    <row r="354" spans="1:11" s="12" customFormat="1" ht="29.4" thickBot="1" x14ac:dyDescent="0.35">
      <c r="A354" s="12" t="s">
        <v>4303</v>
      </c>
      <c r="B354" s="457" t="str">
        <f t="shared" si="9"/>
        <v>Numero medio annuo di ore di formazione per dipendente</v>
      </c>
      <c r="C354" s="12" t="s">
        <v>2919</v>
      </c>
      <c r="D354" s="478" t="s">
        <v>8362</v>
      </c>
      <c r="E354" s="478" t="s">
        <v>8816</v>
      </c>
      <c r="F354" s="472" t="s">
        <v>7891</v>
      </c>
      <c r="G354" s="12" t="s">
        <v>9396</v>
      </c>
      <c r="H354" s="424" t="s">
        <v>7051</v>
      </c>
      <c r="I354" s="424" t="s">
        <v>6362</v>
      </c>
      <c r="J354" s="424" t="s">
        <v>7404</v>
      </c>
      <c r="K354" s="476" t="s">
        <v>6703</v>
      </c>
    </row>
    <row r="355" spans="1:11" ht="28.8" x14ac:dyDescent="0.3">
      <c r="A355" t="s">
        <v>4304</v>
      </c>
      <c r="B355" s="423" t="str">
        <f t="shared" si="9"/>
        <v>C5 – Altre caratteristiche (generali) della forza lavoro</v>
      </c>
      <c r="C355" t="s">
        <v>33</v>
      </c>
      <c r="D355" s="470" t="s">
        <v>8363</v>
      </c>
      <c r="E355" s="470" t="s">
        <v>8582</v>
      </c>
      <c r="F355" s="471" t="s">
        <v>7892</v>
      </c>
      <c r="G355" t="s">
        <v>9397</v>
      </c>
      <c r="H355" s="89" t="s">
        <v>7052</v>
      </c>
      <c r="I355" s="89" t="s">
        <v>6183</v>
      </c>
      <c r="J355" s="89" t="s">
        <v>7405</v>
      </c>
      <c r="K355" s="456" t="s">
        <v>6563</v>
      </c>
    </row>
    <row r="356" spans="1:11" x14ac:dyDescent="0.3">
      <c r="A356" t="s">
        <v>4305</v>
      </c>
      <c r="B356" s="423" t="str">
        <f t="shared" si="9"/>
        <v>Numero di dipendenti di sesso maschile a livello dirigenziale</v>
      </c>
      <c r="C356" t="s">
        <v>3985</v>
      </c>
      <c r="D356" s="470" t="s">
        <v>8364</v>
      </c>
      <c r="E356" s="470" t="s">
        <v>8817</v>
      </c>
      <c r="F356" s="471" t="s">
        <v>7893</v>
      </c>
      <c r="G356" t="s">
        <v>9398</v>
      </c>
      <c r="H356" s="89" t="s">
        <v>7053</v>
      </c>
      <c r="I356" s="89" t="s">
        <v>6363</v>
      </c>
      <c r="J356" s="89" t="s">
        <v>7406</v>
      </c>
      <c r="K356" s="456" t="s">
        <v>6704</v>
      </c>
    </row>
    <row r="357" spans="1:11" x14ac:dyDescent="0.3">
      <c r="A357" t="s">
        <v>4306</v>
      </c>
      <c r="B357" s="423" t="str">
        <f t="shared" si="9"/>
        <v>Numero di dipendenti di sesso femminile a livello dirigenziale</v>
      </c>
      <c r="C357" t="s">
        <v>2903</v>
      </c>
      <c r="D357" s="470" t="s">
        <v>8365</v>
      </c>
      <c r="E357" s="470" t="s">
        <v>8818</v>
      </c>
      <c r="F357" s="471" t="s">
        <v>7894</v>
      </c>
      <c r="G357" t="s">
        <v>9399</v>
      </c>
      <c r="H357" s="89" t="s">
        <v>7054</v>
      </c>
      <c r="I357" s="89" t="s">
        <v>6364</v>
      </c>
      <c r="J357" s="89" t="s">
        <v>7407</v>
      </c>
      <c r="K357" s="456" t="s">
        <v>6705</v>
      </c>
    </row>
    <row r="358" spans="1:11" ht="28.8" x14ac:dyDescent="0.3">
      <c r="A358" t="s">
        <v>4307</v>
      </c>
      <c r="B358" s="423" t="str">
        <f t="shared" si="9"/>
        <v>Rapporto tra donne e uomini a livello dirigenziale per il periodo di riferimento</v>
      </c>
      <c r="C358" t="s">
        <v>2917</v>
      </c>
      <c r="D358" s="470" t="s">
        <v>8366</v>
      </c>
      <c r="E358" s="470" t="s">
        <v>8819</v>
      </c>
      <c r="F358" s="471" t="s">
        <v>7895</v>
      </c>
      <c r="G358" t="s">
        <v>9400</v>
      </c>
      <c r="H358" s="89" t="s">
        <v>7055</v>
      </c>
      <c r="I358" s="89" t="s">
        <v>6365</v>
      </c>
      <c r="J358" s="89" t="s">
        <v>7408</v>
      </c>
      <c r="K358" s="456" t="s">
        <v>6706</v>
      </c>
    </row>
    <row r="359" spans="1:11" ht="28.8" x14ac:dyDescent="0.3">
      <c r="A359" t="s">
        <v>4308</v>
      </c>
      <c r="B359" s="423" t="str">
        <f t="shared" si="9"/>
        <v>Numero totale di lavoratori autonomi senza personale che lavorano esclusivamente per l'impresa</v>
      </c>
      <c r="C359" t="s">
        <v>3054</v>
      </c>
      <c r="D359" s="470" t="s">
        <v>8367</v>
      </c>
      <c r="E359" s="470" t="s">
        <v>8820</v>
      </c>
      <c r="F359" s="471" t="s">
        <v>7896</v>
      </c>
      <c r="G359" t="s">
        <v>9401</v>
      </c>
      <c r="H359" s="89" t="s">
        <v>7056</v>
      </c>
      <c r="I359" s="89" t="s">
        <v>6366</v>
      </c>
      <c r="J359" s="89" t="s">
        <v>5881</v>
      </c>
      <c r="K359" s="456" t="s">
        <v>6707</v>
      </c>
    </row>
    <row r="360" spans="1:11" s="12" customFormat="1" ht="43.8" thickBot="1" x14ac:dyDescent="0.35">
      <c r="A360" s="12" t="s">
        <v>4309</v>
      </c>
      <c r="B360" s="457" t="str">
        <f t="shared" si="9"/>
        <v>Numero totale di lavoratori temporanei messi a disposizione da imprese che esercitano principalmente attività di ricerca, selezione e fornitura di personale</v>
      </c>
      <c r="C360" s="12" t="s">
        <v>34</v>
      </c>
      <c r="D360" s="478" t="s">
        <v>8368</v>
      </c>
      <c r="E360" s="478" t="s">
        <v>8821</v>
      </c>
      <c r="F360" s="472" t="s">
        <v>7897</v>
      </c>
      <c r="G360" s="12" t="s">
        <v>9402</v>
      </c>
      <c r="H360" s="424" t="s">
        <v>7057</v>
      </c>
      <c r="I360" s="424" t="s">
        <v>6367</v>
      </c>
      <c r="J360" s="424" t="s">
        <v>7409</v>
      </c>
      <c r="K360" s="476" t="s">
        <v>5792</v>
      </c>
    </row>
    <row r="361" spans="1:11" ht="43.2" x14ac:dyDescent="0.3">
      <c r="A361" t="s">
        <v>4310</v>
      </c>
      <c r="B361" s="423" t="str">
        <f t="shared" si="9"/>
        <v>C6 – Altre informazioni sulla forza lavoro propria – Politiche e procedure in materia di diritti umani</v>
      </c>
      <c r="C361" t="s">
        <v>35</v>
      </c>
      <c r="D361" s="470" t="s">
        <v>8369</v>
      </c>
      <c r="E361" s="470" t="s">
        <v>8822</v>
      </c>
      <c r="F361" s="471" t="s">
        <v>7898</v>
      </c>
      <c r="G361" t="s">
        <v>9403</v>
      </c>
      <c r="H361" s="89" t="s">
        <v>7058</v>
      </c>
      <c r="I361" s="89" t="s">
        <v>6184</v>
      </c>
      <c r="J361" s="89" t="s">
        <v>7410</v>
      </c>
      <c r="K361" s="456" t="s">
        <v>6564</v>
      </c>
    </row>
    <row r="362" spans="1:11" ht="43.2" x14ac:dyDescent="0.3">
      <c r="A362" t="s">
        <v>4311</v>
      </c>
      <c r="B362" s="423" t="str">
        <f t="shared" si="9"/>
        <v>L'impresa dispone di un codice di condotta o di una politica in materia di diritti umani per la forza lavoro propria?</v>
      </c>
      <c r="C362" t="s">
        <v>36</v>
      </c>
      <c r="D362" s="470" t="s">
        <v>8370</v>
      </c>
      <c r="E362" s="470" t="s">
        <v>8823</v>
      </c>
      <c r="F362" s="471" t="s">
        <v>7899</v>
      </c>
      <c r="G362" t="s">
        <v>9404</v>
      </c>
      <c r="H362" s="89" t="s">
        <v>7059</v>
      </c>
      <c r="I362" s="89" t="s">
        <v>6368</v>
      </c>
      <c r="J362" s="89" t="s">
        <v>7411</v>
      </c>
      <c r="K362" s="456" t="s">
        <v>6708</v>
      </c>
    </row>
    <row r="363" spans="1:11" x14ac:dyDescent="0.3">
      <c r="A363" t="s">
        <v>4312</v>
      </c>
      <c r="B363" s="423" t="str">
        <f t="shared" si="9"/>
        <v>In caso affermativo, questo riguarda:</v>
      </c>
      <c r="C363" t="s">
        <v>4048</v>
      </c>
      <c r="D363" s="470" t="s">
        <v>8371</v>
      </c>
      <c r="E363" s="470" t="s">
        <v>8824</v>
      </c>
      <c r="F363" s="471" t="s">
        <v>7900</v>
      </c>
      <c r="G363" t="s">
        <v>9405</v>
      </c>
      <c r="H363" s="89" t="s">
        <v>7060</v>
      </c>
      <c r="I363" s="89" t="s">
        <v>6369</v>
      </c>
      <c r="J363" s="89" t="s">
        <v>7412</v>
      </c>
      <c r="K363" s="456" t="s">
        <v>6709</v>
      </c>
    </row>
    <row r="364" spans="1:11" x14ac:dyDescent="0.3">
      <c r="A364" t="s">
        <v>4313</v>
      </c>
      <c r="B364" s="423" t="str">
        <f t="shared" si="9"/>
        <v>Lavoro minorile</v>
      </c>
      <c r="C364" t="s">
        <v>4500</v>
      </c>
      <c r="D364" s="470" t="s">
        <v>8372</v>
      </c>
      <c r="E364" s="470" t="s">
        <v>8825</v>
      </c>
      <c r="F364" s="471" t="s">
        <v>7901</v>
      </c>
      <c r="G364" t="s">
        <v>9406</v>
      </c>
      <c r="H364" s="89" t="s">
        <v>9028</v>
      </c>
      <c r="I364" s="89" t="s">
        <v>9027</v>
      </c>
      <c r="J364" s="89" t="s">
        <v>6093</v>
      </c>
      <c r="K364" s="456" t="s">
        <v>5793</v>
      </c>
    </row>
    <row r="365" spans="1:11" x14ac:dyDescent="0.3">
      <c r="A365" t="s">
        <v>4314</v>
      </c>
      <c r="B365" s="423" t="str">
        <f t="shared" si="9"/>
        <v>Lavoro forzato</v>
      </c>
      <c r="C365" t="s">
        <v>4501</v>
      </c>
      <c r="D365" s="470" t="s">
        <v>8373</v>
      </c>
      <c r="E365" s="470" t="s">
        <v>8826</v>
      </c>
      <c r="F365" s="471" t="s">
        <v>7902</v>
      </c>
      <c r="G365" t="s">
        <v>9407</v>
      </c>
      <c r="H365" s="89" t="s">
        <v>6061</v>
      </c>
      <c r="I365" s="89" t="s">
        <v>9029</v>
      </c>
      <c r="J365" s="89" t="s">
        <v>5882</v>
      </c>
      <c r="K365" s="456" t="s">
        <v>5794</v>
      </c>
    </row>
    <row r="366" spans="1:11" x14ac:dyDescent="0.3">
      <c r="A366" t="s">
        <v>4315</v>
      </c>
      <c r="B366" s="423" t="str">
        <f t="shared" si="9"/>
        <v>· tratta di esseri umani</v>
      </c>
      <c r="C366" t="s">
        <v>4502</v>
      </c>
      <c r="D366" s="470" t="s">
        <v>8374</v>
      </c>
      <c r="E366" s="470" t="s">
        <v>8827</v>
      </c>
      <c r="F366" s="471" t="s">
        <v>7903</v>
      </c>
      <c r="G366" t="s">
        <v>9408</v>
      </c>
      <c r="H366" s="89" t="s">
        <v>7061</v>
      </c>
      <c r="I366" s="89" t="s">
        <v>9030</v>
      </c>
      <c r="J366" s="89" t="s">
        <v>7413</v>
      </c>
      <c r="K366" s="456" t="s">
        <v>6710</v>
      </c>
    </row>
    <row r="367" spans="1:11" x14ac:dyDescent="0.3">
      <c r="A367" t="s">
        <v>4316</v>
      </c>
      <c r="B367" s="423" t="str">
        <f t="shared" si="9"/>
        <v>· discriminazione</v>
      </c>
      <c r="C367" t="s">
        <v>4503</v>
      </c>
      <c r="D367" s="470" t="s">
        <v>8375</v>
      </c>
      <c r="E367" s="470" t="s">
        <v>4503</v>
      </c>
      <c r="F367" s="471" t="s">
        <v>7904</v>
      </c>
      <c r="G367" t="s">
        <v>9409</v>
      </c>
      <c r="H367" s="89" t="s">
        <v>5688</v>
      </c>
      <c r="I367" s="89" t="s">
        <v>9031</v>
      </c>
      <c r="J367" s="89" t="s">
        <v>5883</v>
      </c>
      <c r="K367" s="456" t="s">
        <v>5795</v>
      </c>
    </row>
    <row r="368" spans="1:11" x14ac:dyDescent="0.3">
      <c r="A368" t="s">
        <v>4317</v>
      </c>
      <c r="B368" s="423" t="str">
        <f t="shared" si="9"/>
        <v>· Prevenzione degli infortuni</v>
      </c>
      <c r="C368" t="s">
        <v>4504</v>
      </c>
      <c r="D368" s="470" t="s">
        <v>8376</v>
      </c>
      <c r="E368" s="470" t="s">
        <v>8972</v>
      </c>
      <c r="F368" s="471" t="s">
        <v>7905</v>
      </c>
      <c r="G368" t="s">
        <v>9410</v>
      </c>
      <c r="H368" s="89" t="s">
        <v>7062</v>
      </c>
      <c r="I368" s="89" t="s">
        <v>9032</v>
      </c>
      <c r="J368" s="89" t="s">
        <v>9034</v>
      </c>
      <c r="K368" s="456" t="s">
        <v>5796</v>
      </c>
    </row>
    <row r="369" spans="1:11" x14ac:dyDescent="0.3">
      <c r="A369" t="s">
        <v>4318</v>
      </c>
      <c r="B369" s="423" t="str">
        <f t="shared" si="9"/>
        <v>· altro? (se sì, precisare)</v>
      </c>
      <c r="C369" t="s">
        <v>4505</v>
      </c>
      <c r="D369" s="470" t="s">
        <v>8377</v>
      </c>
      <c r="E369" s="470" t="s">
        <v>8828</v>
      </c>
      <c r="F369" s="471" t="s">
        <v>7906</v>
      </c>
      <c r="G369" t="s">
        <v>9411</v>
      </c>
      <c r="H369" s="89" t="s">
        <v>8995</v>
      </c>
      <c r="I369" s="89" t="s">
        <v>9033</v>
      </c>
      <c r="J369" s="89" t="s">
        <v>9035</v>
      </c>
      <c r="K369" s="456" t="s">
        <v>6711</v>
      </c>
    </row>
    <row r="370" spans="1:11" ht="43.2" x14ac:dyDescent="0.3">
      <c r="A370" t="s">
        <v>4319</v>
      </c>
      <c r="B370" s="423" t="str">
        <f t="shared" si="9"/>
        <v>Specifica altri tipi di contenuti coperti dal codice di condotta o dalla politica in materia di diritti umani</v>
      </c>
      <c r="C370" t="s">
        <v>3102</v>
      </c>
      <c r="D370" s="470" t="s">
        <v>8378</v>
      </c>
      <c r="E370" s="470" t="s">
        <v>8829</v>
      </c>
      <c r="F370" s="471" t="s">
        <v>7907</v>
      </c>
      <c r="G370" t="s">
        <v>9412</v>
      </c>
      <c r="H370" s="89" t="s">
        <v>7063</v>
      </c>
      <c r="I370" s="89" t="s">
        <v>6370</v>
      </c>
      <c r="J370" s="89" t="s">
        <v>7414</v>
      </c>
      <c r="K370" s="456" t="s">
        <v>6712</v>
      </c>
    </row>
    <row r="371" spans="1:11" s="12" customFormat="1" ht="29.4" thickBot="1" x14ac:dyDescent="0.35">
      <c r="A371" s="12" t="s">
        <v>4320</v>
      </c>
      <c r="B371" s="457" t="str">
        <f t="shared" si="9"/>
        <v>L'impresa dispone di un meccanismo di trattamento delle denunce per la forza lavoro propria?</v>
      </c>
      <c r="C371" s="12" t="s">
        <v>3986</v>
      </c>
      <c r="D371" s="478" t="s">
        <v>8379</v>
      </c>
      <c r="E371" s="482" t="s">
        <v>8830</v>
      </c>
      <c r="F371" s="472" t="s">
        <v>7908</v>
      </c>
      <c r="G371" s="12" t="s">
        <v>9413</v>
      </c>
      <c r="H371" s="424" t="s">
        <v>7064</v>
      </c>
      <c r="I371" s="424" t="s">
        <v>6371</v>
      </c>
      <c r="J371" s="424" t="s">
        <v>7415</v>
      </c>
      <c r="K371" s="476" t="s">
        <v>6713</v>
      </c>
    </row>
    <row r="372" spans="1:11" ht="28.8" x14ac:dyDescent="0.3">
      <c r="A372" t="s">
        <v>4321</v>
      </c>
      <c r="B372" s="423" t="str">
        <f t="shared" si="9"/>
        <v>C7 – Incidenti gravi in materia di diritti umani</v>
      </c>
      <c r="C372" t="s">
        <v>37</v>
      </c>
      <c r="D372" s="470" t="s">
        <v>8380</v>
      </c>
      <c r="E372" s="470" t="s">
        <v>8583</v>
      </c>
      <c r="F372" s="471" t="s">
        <v>7909</v>
      </c>
      <c r="G372" t="s">
        <v>9414</v>
      </c>
      <c r="H372" s="89" t="s">
        <v>7065</v>
      </c>
      <c r="I372" s="89" t="s">
        <v>6185</v>
      </c>
      <c r="J372" s="89" t="s">
        <v>7416</v>
      </c>
      <c r="K372" s="456" t="s">
        <v>6714</v>
      </c>
    </row>
    <row r="373" spans="1:11" ht="43.2" x14ac:dyDescent="0.3">
      <c r="A373" t="s">
        <v>4322</v>
      </c>
      <c r="B373" s="423" t="str">
        <f t="shared" si="9"/>
        <v>L'impresa ha confermato incidenti in seno alla forza lavoro propria?</v>
      </c>
      <c r="C373" t="s">
        <v>3017</v>
      </c>
      <c r="D373" s="470" t="s">
        <v>8381</v>
      </c>
      <c r="E373" s="470" t="s">
        <v>8831</v>
      </c>
      <c r="F373" s="471" t="s">
        <v>7910</v>
      </c>
      <c r="G373" t="s">
        <v>9415</v>
      </c>
      <c r="H373" s="89" t="s">
        <v>7066</v>
      </c>
      <c r="I373" s="89" t="s">
        <v>6372</v>
      </c>
      <c r="J373" s="89" t="s">
        <v>7417</v>
      </c>
      <c r="K373" s="456" t="s">
        <v>6715</v>
      </c>
    </row>
    <row r="374" spans="1:11" x14ac:dyDescent="0.3">
      <c r="A374" t="s">
        <v>4323</v>
      </c>
      <c r="B374" s="423" t="str">
        <f t="shared" si="9"/>
        <v>In caso affermativo, gli incidenti sono correlati a:</v>
      </c>
      <c r="C374" t="s">
        <v>4049</v>
      </c>
      <c r="D374" s="470" t="s">
        <v>8382</v>
      </c>
      <c r="E374" s="470" t="s">
        <v>8832</v>
      </c>
      <c r="F374" s="471" t="s">
        <v>7911</v>
      </c>
      <c r="G374" t="s">
        <v>9416</v>
      </c>
      <c r="H374" s="89" t="s">
        <v>7067</v>
      </c>
      <c r="I374" s="89" t="s">
        <v>6373</v>
      </c>
      <c r="J374" s="89" t="s">
        <v>7418</v>
      </c>
      <c r="K374" s="456" t="s">
        <v>6716</v>
      </c>
    </row>
    <row r="375" spans="1:11" ht="28.8" x14ac:dyDescent="0.3">
      <c r="A375" t="s">
        <v>4324</v>
      </c>
      <c r="B375" s="423" t="str">
        <f t="shared" si="9"/>
        <v>Specifica altri diritti umani relativi agli incidenti confermati</v>
      </c>
      <c r="C375" t="s">
        <v>3541</v>
      </c>
      <c r="D375" s="470" t="s">
        <v>8383</v>
      </c>
      <c r="E375" s="470" t="s">
        <v>8833</v>
      </c>
      <c r="F375" s="471" t="s">
        <v>7912</v>
      </c>
      <c r="G375" t="s">
        <v>9417</v>
      </c>
      <c r="H375" s="89" t="s">
        <v>7068</v>
      </c>
      <c r="I375" s="89" t="s">
        <v>6374</v>
      </c>
      <c r="J375" s="89" t="s">
        <v>7419</v>
      </c>
      <c r="K375" s="456" t="s">
        <v>6717</v>
      </c>
    </row>
    <row r="376" spans="1:11" ht="57.6" x14ac:dyDescent="0.3">
      <c r="A376" t="s">
        <v>4325</v>
      </c>
      <c r="B376" s="423" t="str">
        <f t="shared" si="9"/>
        <v>Descrizione delle azioni intraprese in risposta agli incidenti confermati</v>
      </c>
      <c r="C376" t="s">
        <v>4001</v>
      </c>
      <c r="D376" s="470" t="s">
        <v>8384</v>
      </c>
      <c r="E376" s="470" t="s">
        <v>8834</v>
      </c>
      <c r="F376" s="471" t="s">
        <v>7913</v>
      </c>
      <c r="G376" t="s">
        <v>9418</v>
      </c>
      <c r="H376" s="89" t="s">
        <v>7069</v>
      </c>
      <c r="I376" s="89" t="s">
        <v>6375</v>
      </c>
      <c r="J376" s="89" t="s">
        <v>7420</v>
      </c>
      <c r="K376" s="456" t="s">
        <v>6718</v>
      </c>
    </row>
    <row r="377" spans="1:11" ht="72" x14ac:dyDescent="0.3">
      <c r="A377" t="s">
        <v>4326</v>
      </c>
      <c r="B377" s="423" t="str">
        <f t="shared" si="9"/>
        <v>L'impresa è a conoscenza di incidenti confermati che coinvolgono lavoratori nella catena del valore, comunità interessate, consumatori e utilizzatori finali?</v>
      </c>
      <c r="C377" t="s">
        <v>4050</v>
      </c>
      <c r="D377" s="470" t="s">
        <v>8385</v>
      </c>
      <c r="E377" s="470" t="s">
        <v>8835</v>
      </c>
      <c r="F377" s="471" t="s">
        <v>7914</v>
      </c>
      <c r="G377" t="s">
        <v>9419</v>
      </c>
      <c r="H377" s="89" t="s">
        <v>7070</v>
      </c>
      <c r="I377" s="89" t="s">
        <v>6376</v>
      </c>
      <c r="J377" s="89" t="s">
        <v>7421</v>
      </c>
      <c r="K377" s="456" t="s">
        <v>6719</v>
      </c>
    </row>
    <row r="378" spans="1:11" s="12" customFormat="1" ht="58.2" thickBot="1" x14ac:dyDescent="0.35">
      <c r="A378" s="12" t="s">
        <v>4327</v>
      </c>
      <c r="B378" s="457" t="str">
        <f t="shared" si="9"/>
        <v>Specificazione di eventuali incidenti confermati che coinvolgono lavoratori nella catena del valore, comunità interessate, consumatori e utilizzatori finali</v>
      </c>
      <c r="C378" s="12" t="s">
        <v>4051</v>
      </c>
      <c r="D378" s="478" t="s">
        <v>8386</v>
      </c>
      <c r="E378" s="478" t="s">
        <v>8836</v>
      </c>
      <c r="F378" s="472" t="s">
        <v>7915</v>
      </c>
      <c r="G378" s="12" t="s">
        <v>9420</v>
      </c>
      <c r="H378" s="424" t="s">
        <v>7071</v>
      </c>
      <c r="I378" s="424" t="s">
        <v>6377</v>
      </c>
      <c r="J378" s="424" t="s">
        <v>7422</v>
      </c>
      <c r="K378" s="476" t="s">
        <v>6720</v>
      </c>
    </row>
    <row r="379" spans="1:11" s="119" customFormat="1" ht="29.4" thickBot="1" x14ac:dyDescent="0.35">
      <c r="A379" s="119" t="s">
        <v>4328</v>
      </c>
      <c r="B379" s="459" t="str">
        <f t="shared" si="9"/>
        <v>Comunicazione di qualsiasi altra informativa sociale e/o specifica per soggetto</v>
      </c>
      <c r="C379" s="119" t="s">
        <v>4057</v>
      </c>
      <c r="D379" s="483" t="s">
        <v>8387</v>
      </c>
      <c r="E379" s="483" t="s">
        <v>8589</v>
      </c>
      <c r="F379" s="473" t="s">
        <v>7916</v>
      </c>
      <c r="G379" s="119" t="s">
        <v>9421</v>
      </c>
      <c r="H379" s="460" t="s">
        <v>7072</v>
      </c>
      <c r="I379" s="460" t="s">
        <v>6378</v>
      </c>
      <c r="J379" s="460" t="s">
        <v>7423</v>
      </c>
      <c r="K379" s="477" t="s">
        <v>6721</v>
      </c>
    </row>
    <row r="380" spans="1:11" ht="28.8" x14ac:dyDescent="0.3">
      <c r="A380" t="s">
        <v>4329</v>
      </c>
      <c r="B380" t="str">
        <f t="shared" si="9"/>
        <v>B11 – Condanne e ammende per corruzione attiva e passiva</v>
      </c>
      <c r="C380" t="s">
        <v>38</v>
      </c>
      <c r="D380" s="470" t="s">
        <v>8388</v>
      </c>
      <c r="E380" s="470" t="s">
        <v>8576</v>
      </c>
      <c r="F380" s="471" t="s">
        <v>7917</v>
      </c>
      <c r="G380" t="s">
        <v>9422</v>
      </c>
      <c r="H380" s="89" t="s">
        <v>7073</v>
      </c>
      <c r="I380" s="89" t="s">
        <v>6179</v>
      </c>
      <c r="J380" s="89" t="s">
        <v>5884</v>
      </c>
      <c r="K380" s="456" t="s">
        <v>6722</v>
      </c>
    </row>
    <row r="381" spans="1:11" ht="28.8" x14ac:dyDescent="0.3">
      <c r="A381" t="s">
        <v>4330</v>
      </c>
      <c r="B381" t="str">
        <f t="shared" si="9"/>
        <v>L'impresa ha subito condanne e ammende nel periodo di riferimento?</v>
      </c>
      <c r="C381" t="s">
        <v>3089</v>
      </c>
      <c r="D381" s="470" t="s">
        <v>8389</v>
      </c>
      <c r="E381" s="470" t="s">
        <v>8837</v>
      </c>
      <c r="F381" s="471" t="s">
        <v>7918</v>
      </c>
      <c r="G381" t="s">
        <v>9423</v>
      </c>
      <c r="H381" s="89" t="s">
        <v>7074</v>
      </c>
      <c r="I381" s="89" t="s">
        <v>6379</v>
      </c>
      <c r="J381" s="89" t="s">
        <v>7424</v>
      </c>
      <c r="K381" s="456" t="s">
        <v>6723</v>
      </c>
    </row>
    <row r="382" spans="1:11" ht="43.2" x14ac:dyDescent="0.3">
      <c r="A382" t="s">
        <v>4331</v>
      </c>
      <c r="B382" t="str">
        <f t="shared" si="9"/>
        <v>Numero totale delle condanne per violazione delle leggi in materia di lotta alla corruzione passiva e attiva</v>
      </c>
      <c r="C382" t="s">
        <v>3109</v>
      </c>
      <c r="D382" s="470" t="s">
        <v>8390</v>
      </c>
      <c r="E382" s="470" t="s">
        <v>8838</v>
      </c>
      <c r="F382" s="471" t="s">
        <v>7919</v>
      </c>
      <c r="G382" t="s">
        <v>9424</v>
      </c>
      <c r="H382" s="89" t="s">
        <v>7075</v>
      </c>
      <c r="I382" s="89" t="s">
        <v>6380</v>
      </c>
      <c r="J382" s="89" t="s">
        <v>6094</v>
      </c>
      <c r="K382" s="456" t="s">
        <v>6724</v>
      </c>
    </row>
    <row r="383" spans="1:11" s="12" customFormat="1" ht="43.8" thickBot="1" x14ac:dyDescent="0.35">
      <c r="A383" s="12" t="s">
        <v>4332</v>
      </c>
      <c r="B383" s="12" t="str">
        <f t="shared" si="9"/>
        <v>Importo complessivo delle ammende in cui è incorsa per violazione delle leggi in materia di lotta alla corruzione passiva e attiva</v>
      </c>
      <c r="C383" s="12" t="s">
        <v>4508</v>
      </c>
      <c r="D383" s="478" t="s">
        <v>8391</v>
      </c>
      <c r="E383" s="478" t="s">
        <v>8839</v>
      </c>
      <c r="F383" s="472" t="s">
        <v>7920</v>
      </c>
      <c r="G383" s="12" t="s">
        <v>9425</v>
      </c>
      <c r="H383" s="424" t="s">
        <v>7076</v>
      </c>
      <c r="I383" s="424" t="s">
        <v>6381</v>
      </c>
      <c r="J383" s="424" t="s">
        <v>7425</v>
      </c>
      <c r="K383" s="476" t="s">
        <v>6725</v>
      </c>
    </row>
    <row r="384" spans="1:11" x14ac:dyDescent="0.3">
      <c r="A384" t="s">
        <v>4333</v>
      </c>
      <c r="B384" t="str">
        <f t="shared" si="9"/>
        <v>C8 – Ricavi da determinate attività</v>
      </c>
      <c r="C384" t="s">
        <v>4616</v>
      </c>
      <c r="D384" s="470" t="s">
        <v>8392</v>
      </c>
      <c r="E384" s="470" t="s">
        <v>8840</v>
      </c>
      <c r="F384" s="471" t="s">
        <v>7921</v>
      </c>
      <c r="G384" t="s">
        <v>9426</v>
      </c>
      <c r="H384" s="89" t="s">
        <v>7077</v>
      </c>
      <c r="I384" s="89" t="s">
        <v>5966</v>
      </c>
      <c r="J384" s="89" t="s">
        <v>7426</v>
      </c>
      <c r="K384" s="456" t="s">
        <v>6726</v>
      </c>
    </row>
    <row r="385" spans="1:11" ht="28.8" x14ac:dyDescent="0.3">
      <c r="A385" t="s">
        <v>4334</v>
      </c>
      <c r="B385" t="str">
        <f t="shared" si="9"/>
        <v>L'impresa genera ricavi da una delle attività elencate di seguito?</v>
      </c>
      <c r="C385" t="s">
        <v>3090</v>
      </c>
      <c r="D385" s="470" t="s">
        <v>8393</v>
      </c>
      <c r="E385" s="470" t="s">
        <v>8841</v>
      </c>
      <c r="F385" s="471" t="s">
        <v>7922</v>
      </c>
      <c r="G385" t="s">
        <v>9427</v>
      </c>
      <c r="H385" s="89" t="s">
        <v>7078</v>
      </c>
      <c r="I385" s="89" t="s">
        <v>6382</v>
      </c>
      <c r="J385" s="89" t="s">
        <v>7427</v>
      </c>
      <c r="K385" s="456" t="s">
        <v>5797</v>
      </c>
    </row>
    <row r="386" spans="1:11" x14ac:dyDescent="0.3">
      <c r="A386" t="s">
        <v>4335</v>
      </c>
      <c r="B386" t="str">
        <f t="shared" si="9"/>
        <v>Importo monetario in</v>
      </c>
      <c r="C386" t="s">
        <v>3987</v>
      </c>
      <c r="D386" s="470" t="s">
        <v>8394</v>
      </c>
      <c r="E386" s="470" t="s">
        <v>8842</v>
      </c>
      <c r="F386" s="471" t="s">
        <v>7667</v>
      </c>
      <c r="G386" t="s">
        <v>9428</v>
      </c>
      <c r="H386" s="89" t="s">
        <v>7079</v>
      </c>
      <c r="I386" s="89" t="s">
        <v>5967</v>
      </c>
      <c r="J386" s="89" t="s">
        <v>5885</v>
      </c>
      <c r="K386" s="456" t="s">
        <v>5798</v>
      </c>
    </row>
    <row r="387" spans="1:11" ht="43.2" x14ac:dyDescent="0.3">
      <c r="A387" t="s">
        <v>4336</v>
      </c>
      <c r="B387" t="str">
        <f t="shared" si="9"/>
        <v>Ricavi derivanti da armi controverse (mine antiuomo, munizioni a grappolo, armi chimiche e armi biologiche)</v>
      </c>
      <c r="C387" t="s">
        <v>4052</v>
      </c>
      <c r="D387" s="470" t="s">
        <v>8395</v>
      </c>
      <c r="E387" s="470" t="s">
        <v>8843</v>
      </c>
      <c r="F387" s="471" t="s">
        <v>7923</v>
      </c>
      <c r="G387" t="s">
        <v>9429</v>
      </c>
      <c r="H387" s="89" t="s">
        <v>7080</v>
      </c>
      <c r="I387" s="89" t="s">
        <v>6383</v>
      </c>
      <c r="J387" s="89" t="s">
        <v>7428</v>
      </c>
      <c r="K387" s="456" t="s">
        <v>6510</v>
      </c>
    </row>
    <row r="388" spans="1:11" ht="28.8" x14ac:dyDescent="0.3">
      <c r="A388" t="s">
        <v>4337</v>
      </c>
      <c r="B388" t="str">
        <f t="shared" ref="B388:B451" si="10">INDEX(C388:K388,MATCH(template_selected_display_language,$C$3:$K$3,0))</f>
        <v>Ricavi derivanti dalla coltivazione e produzione di tabacco</v>
      </c>
      <c r="C388" t="s">
        <v>3043</v>
      </c>
      <c r="D388" s="470" t="s">
        <v>8396</v>
      </c>
      <c r="E388" s="470" t="s">
        <v>8844</v>
      </c>
      <c r="F388" s="471" t="s">
        <v>7924</v>
      </c>
      <c r="G388" t="s">
        <v>9430</v>
      </c>
      <c r="H388" s="89" t="s">
        <v>7081</v>
      </c>
      <c r="I388" s="89" t="s">
        <v>6384</v>
      </c>
      <c r="J388" s="89" t="s">
        <v>7429</v>
      </c>
      <c r="K388" s="456" t="s">
        <v>6727</v>
      </c>
    </row>
    <row r="389" spans="1:11" x14ac:dyDescent="0.3">
      <c r="A389" t="s">
        <v>4338</v>
      </c>
      <c r="B389" t="str">
        <f t="shared" si="10"/>
        <v>Ricavi derivanti dal carbone</v>
      </c>
      <c r="C389" t="s">
        <v>3042</v>
      </c>
      <c r="D389" s="470" t="s">
        <v>8397</v>
      </c>
      <c r="E389" s="470" t="s">
        <v>8845</v>
      </c>
      <c r="F389" s="471" t="s">
        <v>7925</v>
      </c>
      <c r="G389" t="s">
        <v>9431</v>
      </c>
      <c r="H389" s="89" t="s">
        <v>6037</v>
      </c>
      <c r="I389" s="89" t="s">
        <v>6385</v>
      </c>
      <c r="J389" s="89" t="s">
        <v>7430</v>
      </c>
      <c r="K389" s="456" t="s">
        <v>5799</v>
      </c>
    </row>
    <row r="390" spans="1:11" x14ac:dyDescent="0.3">
      <c r="A390" t="s">
        <v>4339</v>
      </c>
      <c r="B390" t="str">
        <f t="shared" si="10"/>
        <v>Ricavi derivanti dal petrolio</v>
      </c>
      <c r="C390" t="s">
        <v>3041</v>
      </c>
      <c r="D390" s="470" t="s">
        <v>8398</v>
      </c>
      <c r="E390" s="470" t="s">
        <v>8846</v>
      </c>
      <c r="F390" s="471" t="s">
        <v>7926</v>
      </c>
      <c r="G390" t="s">
        <v>9432</v>
      </c>
      <c r="H390" s="89" t="s">
        <v>7082</v>
      </c>
      <c r="I390" s="89" t="s">
        <v>6386</v>
      </c>
      <c r="J390" s="89" t="s">
        <v>7431</v>
      </c>
      <c r="K390" s="456" t="s">
        <v>5800</v>
      </c>
    </row>
    <row r="391" spans="1:11" x14ac:dyDescent="0.3">
      <c r="A391" t="s">
        <v>4340</v>
      </c>
      <c r="B391" t="str">
        <f t="shared" si="10"/>
        <v>Ricavi derivanti dal gas</v>
      </c>
      <c r="C391" t="s">
        <v>3040</v>
      </c>
      <c r="D391" s="470" t="s">
        <v>8399</v>
      </c>
      <c r="E391" s="470" t="s">
        <v>8847</v>
      </c>
      <c r="F391" s="471" t="s">
        <v>7927</v>
      </c>
      <c r="G391" t="s">
        <v>9433</v>
      </c>
      <c r="H391" s="89" t="s">
        <v>7083</v>
      </c>
      <c r="I391" s="89" t="s">
        <v>6387</v>
      </c>
      <c r="J391" s="89" t="s">
        <v>7432</v>
      </c>
      <c r="K391" s="456" t="s">
        <v>6099</v>
      </c>
    </row>
    <row r="392" spans="1:11" ht="144" x14ac:dyDescent="0.3">
      <c r="A392" t="s">
        <v>4341</v>
      </c>
      <c r="B392" t="str">
        <f t="shared" si="10"/>
        <v>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v>
      </c>
      <c r="C392" t="s">
        <v>4632</v>
      </c>
      <c r="D392" s="470" t="s">
        <v>8400</v>
      </c>
      <c r="E392" s="470" t="s">
        <v>8848</v>
      </c>
      <c r="F392" s="471" t="s">
        <v>7928</v>
      </c>
      <c r="G392" t="s">
        <v>9434</v>
      </c>
      <c r="H392" s="89" t="s">
        <v>7084</v>
      </c>
      <c r="I392" s="89" t="s">
        <v>6388</v>
      </c>
      <c r="J392" s="89" t="s">
        <v>7433</v>
      </c>
      <c r="K392" s="456" t="s">
        <v>6511</v>
      </c>
    </row>
    <row r="393" spans="1:11" s="12" customFormat="1" ht="29.4" thickBot="1" x14ac:dyDescent="0.35">
      <c r="A393" s="12" t="s">
        <v>4342</v>
      </c>
      <c r="B393" s="12" t="str">
        <f t="shared" si="10"/>
        <v>Ricavi derivanti dalla produzione di sostanze chimiche</v>
      </c>
      <c r="C393" s="12" t="s">
        <v>3039</v>
      </c>
      <c r="D393" s="478" t="s">
        <v>8401</v>
      </c>
      <c r="E393" s="478" t="s">
        <v>8849</v>
      </c>
      <c r="F393" s="472" t="s">
        <v>7929</v>
      </c>
      <c r="G393" s="12" t="s">
        <v>9435</v>
      </c>
      <c r="H393" s="424" t="s">
        <v>7085</v>
      </c>
      <c r="I393" s="424" t="s">
        <v>6389</v>
      </c>
      <c r="J393" s="424" t="s">
        <v>7434</v>
      </c>
      <c r="K393" s="476" t="s">
        <v>5801</v>
      </c>
    </row>
    <row r="394" spans="1:11" ht="28.8" x14ac:dyDescent="0.3">
      <c r="A394" t="s">
        <v>4343</v>
      </c>
      <c r="B394" t="str">
        <f t="shared" si="10"/>
        <v>C8 – Esclusione dagli indici di riferimento dell'UE</v>
      </c>
      <c r="C394" t="s">
        <v>4026</v>
      </c>
      <c r="D394" s="470" t="s">
        <v>8402</v>
      </c>
      <c r="E394" s="470" t="s">
        <v>8850</v>
      </c>
      <c r="F394" s="471" t="s">
        <v>7930</v>
      </c>
      <c r="G394" t="s">
        <v>9436</v>
      </c>
      <c r="H394" s="89" t="s">
        <v>7086</v>
      </c>
      <c r="I394" s="89" t="s">
        <v>6390</v>
      </c>
      <c r="J394" s="89" t="s">
        <v>7435</v>
      </c>
      <c r="K394" s="456" t="s">
        <v>5802</v>
      </c>
    </row>
    <row r="395" spans="1:11" ht="28.8" x14ac:dyDescent="0.3">
      <c r="A395" t="s">
        <v>4344</v>
      </c>
      <c r="B395" t="str">
        <f t="shared" si="10"/>
        <v>Le imprese escluse dagli indici di riferimento UE allineati con l'accordo di Parigi sono le seguenti:</v>
      </c>
      <c r="C395" t="s">
        <v>2901</v>
      </c>
      <c r="D395" s="470" t="s">
        <v>8403</v>
      </c>
      <c r="E395" s="470" t="s">
        <v>8851</v>
      </c>
      <c r="F395" s="471" t="s">
        <v>7931</v>
      </c>
      <c r="G395" t="s">
        <v>9437</v>
      </c>
      <c r="H395" s="89" t="s">
        <v>7087</v>
      </c>
      <c r="I395" s="89" t="s">
        <v>6391</v>
      </c>
      <c r="J395" s="89" t="s">
        <v>7436</v>
      </c>
      <c r="K395" s="456" t="s">
        <v>6795</v>
      </c>
    </row>
    <row r="396" spans="1:11" ht="43.2" x14ac:dyDescent="0.3">
      <c r="A396" t="s">
        <v>4345</v>
      </c>
      <c r="B396" t="str">
        <f t="shared" si="10"/>
        <v>società che ottengono l'1 % o più dei ricavi dalla prospezione, estrazione, distribuzione o raffinazione di carbon fossile e lignite;</v>
      </c>
      <c r="C396" t="s">
        <v>4002</v>
      </c>
      <c r="D396" s="470" t="s">
        <v>8404</v>
      </c>
      <c r="E396" s="470" t="s">
        <v>8852</v>
      </c>
      <c r="F396" s="471" t="s">
        <v>7932</v>
      </c>
      <c r="G396" t="s">
        <v>9438</v>
      </c>
      <c r="H396" s="89" t="s">
        <v>7088</v>
      </c>
      <c r="I396" s="89" t="s">
        <v>6392</v>
      </c>
      <c r="J396" s="89" t="s">
        <v>7437</v>
      </c>
      <c r="K396" s="456" t="s">
        <v>6492</v>
      </c>
    </row>
    <row r="397" spans="1:11" ht="43.2" x14ac:dyDescent="0.3">
      <c r="A397" t="s">
        <v>4346</v>
      </c>
      <c r="B397" t="str">
        <f t="shared" si="10"/>
        <v>società che ottengono il 10% o più dei ricavi dalla prospezione, estrazione, distribuzione o raffinazione di oli combustibili</v>
      </c>
      <c r="C397" t="s">
        <v>4003</v>
      </c>
      <c r="D397" s="470" t="s">
        <v>8405</v>
      </c>
      <c r="E397" s="470" t="s">
        <v>8853</v>
      </c>
      <c r="F397" s="471" t="s">
        <v>7933</v>
      </c>
      <c r="G397" t="s">
        <v>9439</v>
      </c>
      <c r="H397" s="89" t="s">
        <v>7089</v>
      </c>
      <c r="I397" s="89" t="s">
        <v>6393</v>
      </c>
      <c r="J397" s="89" t="s">
        <v>7438</v>
      </c>
      <c r="K397" s="456" t="s">
        <v>6728</v>
      </c>
    </row>
    <row r="398" spans="1:11" ht="43.2" x14ac:dyDescent="0.3">
      <c r="A398" t="s">
        <v>4347</v>
      </c>
      <c r="B398" t="str">
        <f t="shared" si="10"/>
        <v>società che ottengono il 50 % o più dei ricavi dalla prospezione, estrazione, produzione o distribuzione di gas combustibili</v>
      </c>
      <c r="C398" t="s">
        <v>4004</v>
      </c>
      <c r="D398" s="470" t="s">
        <v>8406</v>
      </c>
      <c r="E398" s="470" t="s">
        <v>8854</v>
      </c>
      <c r="F398" s="471" t="s">
        <v>7934</v>
      </c>
      <c r="G398" t="s">
        <v>9440</v>
      </c>
      <c r="H398" s="89" t="s">
        <v>7090</v>
      </c>
      <c r="I398" s="89" t="s">
        <v>6394</v>
      </c>
      <c r="J398" s="89" t="s">
        <v>7439</v>
      </c>
      <c r="K398" s="456" t="s">
        <v>6729</v>
      </c>
    </row>
    <row r="399" spans="1:11" ht="57.6" x14ac:dyDescent="0.3">
      <c r="A399" t="s">
        <v>4348</v>
      </c>
      <c r="B399" t="str">
        <f t="shared" si="10"/>
        <v>società che ottengono il 50 % o più dei ricavi dalla produzione di energia elettrica con un'intensità dei gas a effetto serra superiore a 100 g CO2 eq/kWh</v>
      </c>
      <c r="C399" t="s">
        <v>4058</v>
      </c>
      <c r="D399" s="470" t="s">
        <v>8407</v>
      </c>
      <c r="E399" s="470" t="s">
        <v>8855</v>
      </c>
      <c r="F399" s="471" t="s">
        <v>7935</v>
      </c>
      <c r="G399" t="s">
        <v>9441</v>
      </c>
      <c r="H399" s="89" t="s">
        <v>7091</v>
      </c>
      <c r="I399" s="89" t="s">
        <v>6395</v>
      </c>
      <c r="J399" s="89" t="s">
        <v>7440</v>
      </c>
      <c r="K399" s="456" t="s">
        <v>6730</v>
      </c>
    </row>
    <row r="400" spans="1:11" x14ac:dyDescent="0.3">
      <c r="A400" t="s">
        <v>4349</v>
      </c>
      <c r="B400" t="str">
        <f t="shared" si="10"/>
        <v xml:space="preserve">Nessuno dei precedenti 
</v>
      </c>
      <c r="C400" t="s">
        <v>2924</v>
      </c>
      <c r="D400" s="470" t="s">
        <v>8408</v>
      </c>
      <c r="E400" s="470" t="s">
        <v>8856</v>
      </c>
      <c r="F400" s="471" t="s">
        <v>7936</v>
      </c>
      <c r="G400" t="s">
        <v>9442</v>
      </c>
      <c r="H400" s="89" t="s">
        <v>7092</v>
      </c>
      <c r="I400" s="89" t="s">
        <v>6396</v>
      </c>
      <c r="J400" s="89" t="s">
        <v>7441</v>
      </c>
      <c r="K400" s="456" t="s">
        <v>5803</v>
      </c>
    </row>
    <row r="401" spans="1:11" s="12" customFormat="1" ht="29.4" thickBot="1" x14ac:dyDescent="0.35">
      <c r="A401" s="12" t="s">
        <v>4350</v>
      </c>
      <c r="B401" s="12" t="str">
        <f t="shared" si="10"/>
        <v xml:space="preserve">Le imprese sono escluse da qualsiasi indice di riferimento UE allineato con l'accordo di Parigi. 
</v>
      </c>
      <c r="C401" s="12" t="s">
        <v>3988</v>
      </c>
      <c r="D401" s="478" t="s">
        <v>8409</v>
      </c>
      <c r="E401" s="478" t="s">
        <v>8857</v>
      </c>
      <c r="F401" s="472" t="s">
        <v>7937</v>
      </c>
      <c r="G401" s="12" t="s">
        <v>9443</v>
      </c>
      <c r="H401" s="424" t="s">
        <v>7093</v>
      </c>
      <c r="I401" s="424" t="s">
        <v>6397</v>
      </c>
      <c r="J401" s="424" t="s">
        <v>7442</v>
      </c>
      <c r="K401" s="476" t="s">
        <v>6731</v>
      </c>
    </row>
    <row r="402" spans="1:11" x14ac:dyDescent="0.3">
      <c r="A402" t="s">
        <v>4351</v>
      </c>
      <c r="B402" t="str">
        <f t="shared" si="10"/>
        <v>Diversità di genere nell'organo di governance</v>
      </c>
      <c r="C402" t="s">
        <v>39</v>
      </c>
      <c r="D402" s="470" t="s">
        <v>8410</v>
      </c>
      <c r="E402" s="470" t="s">
        <v>8586</v>
      </c>
      <c r="F402" s="471" t="s">
        <v>7938</v>
      </c>
      <c r="G402" t="s">
        <v>9444</v>
      </c>
      <c r="H402" s="89" t="s">
        <v>6038</v>
      </c>
      <c r="I402" s="89" t="s">
        <v>6398</v>
      </c>
      <c r="J402" s="89" t="s">
        <v>7443</v>
      </c>
      <c r="K402" s="456" t="s">
        <v>6566</v>
      </c>
    </row>
    <row r="403" spans="1:11" ht="43.2" x14ac:dyDescent="0.3">
      <c r="A403" t="s">
        <v>4352</v>
      </c>
      <c r="B403" t="str">
        <f t="shared" si="10"/>
        <v>L'impresa dispone di un organo di governance?</v>
      </c>
      <c r="C403" t="s">
        <v>3091</v>
      </c>
      <c r="D403" s="470" t="s">
        <v>8411</v>
      </c>
      <c r="E403" s="470" t="s">
        <v>8858</v>
      </c>
      <c r="F403" s="471" t="s">
        <v>7939</v>
      </c>
      <c r="G403" t="s">
        <v>9445</v>
      </c>
      <c r="H403" s="89" t="s">
        <v>7094</v>
      </c>
      <c r="I403" s="89" t="s">
        <v>6399</v>
      </c>
      <c r="J403" s="89" t="s">
        <v>7444</v>
      </c>
      <c r="K403" s="456" t="s">
        <v>6732</v>
      </c>
    </row>
    <row r="404" spans="1:11" ht="28.8" x14ac:dyDescent="0.3">
      <c r="A404" t="s">
        <v>4353</v>
      </c>
      <c r="B404" t="str">
        <f t="shared" si="10"/>
        <v xml:space="preserve">Numero di membri femminili nel consiglio alla fine del periodo di riferimento
</v>
      </c>
      <c r="C404" t="s">
        <v>3546</v>
      </c>
      <c r="D404" s="470" t="s">
        <v>8412</v>
      </c>
      <c r="E404" s="470" t="s">
        <v>8859</v>
      </c>
      <c r="F404" s="471" t="s">
        <v>7940</v>
      </c>
      <c r="G404" t="s">
        <v>9446</v>
      </c>
      <c r="H404" s="89" t="s">
        <v>6039</v>
      </c>
      <c r="I404" s="89" t="s">
        <v>6400</v>
      </c>
      <c r="J404" s="89" t="s">
        <v>7445</v>
      </c>
      <c r="K404" s="456" t="s">
        <v>6733</v>
      </c>
    </row>
    <row r="405" spans="1:11" ht="28.8" x14ac:dyDescent="0.3">
      <c r="A405" t="s">
        <v>4354</v>
      </c>
      <c r="B405" t="str">
        <f t="shared" si="10"/>
        <v>Numero di membri maschili nel consiglio alla fine del periodo di riferimento</v>
      </c>
      <c r="C405" t="s">
        <v>3547</v>
      </c>
      <c r="D405" s="470" t="s">
        <v>8413</v>
      </c>
      <c r="E405" s="470" t="s">
        <v>8860</v>
      </c>
      <c r="F405" s="471" t="s">
        <v>7941</v>
      </c>
      <c r="G405" t="s">
        <v>9447</v>
      </c>
      <c r="H405" s="89" t="s">
        <v>6040</v>
      </c>
      <c r="I405" s="89" t="s">
        <v>6401</v>
      </c>
      <c r="J405" s="89" t="s">
        <v>7446</v>
      </c>
      <c r="K405" s="456" t="s">
        <v>6734</v>
      </c>
    </row>
    <row r="406" spans="1:11" s="12" customFormat="1" ht="29.4" thickBot="1" x14ac:dyDescent="0.35">
      <c r="A406" s="12" t="s">
        <v>4355</v>
      </c>
      <c r="B406" s="12" t="str">
        <f t="shared" si="10"/>
        <v>Diversità di genere nell'organo di governance</v>
      </c>
      <c r="C406" s="12" t="s">
        <v>3989</v>
      </c>
      <c r="D406" s="478" t="s">
        <v>8414</v>
      </c>
      <c r="E406" s="478" t="s">
        <v>8861</v>
      </c>
      <c r="F406" s="472" t="s">
        <v>7942</v>
      </c>
      <c r="G406" s="12" t="s">
        <v>9444</v>
      </c>
      <c r="H406" s="424" t="s">
        <v>6041</v>
      </c>
      <c r="I406" s="424" t="s">
        <v>6402</v>
      </c>
      <c r="J406" s="424" t="s">
        <v>5886</v>
      </c>
      <c r="K406" s="476" t="s">
        <v>5804</v>
      </c>
    </row>
    <row r="407" spans="1:11" s="119" customFormat="1" ht="29.4" thickBot="1" x14ac:dyDescent="0.35">
      <c r="A407" s="119" t="s">
        <v>4356</v>
      </c>
      <c r="B407" s="119" t="str">
        <f t="shared" si="10"/>
        <v>Comunicazione di qualsiasi altra informativa sulla governance e/o informativa specifica per soggetto</v>
      </c>
      <c r="C407" s="119" t="s">
        <v>4059</v>
      </c>
      <c r="D407" s="483" t="s">
        <v>8415</v>
      </c>
      <c r="E407" s="483" t="s">
        <v>8590</v>
      </c>
      <c r="F407" s="473" t="s">
        <v>7943</v>
      </c>
      <c r="G407" s="119" t="s">
        <v>9448</v>
      </c>
      <c r="H407" s="460" t="s">
        <v>7095</v>
      </c>
      <c r="I407" s="460" t="s">
        <v>6403</v>
      </c>
      <c r="J407" s="460" t="s">
        <v>7447</v>
      </c>
      <c r="K407" s="477" t="s">
        <v>6735</v>
      </c>
    </row>
    <row r="408" spans="1:11" x14ac:dyDescent="0.3">
      <c r="A408" t="s">
        <v>4540</v>
      </c>
      <c r="B408" t="str">
        <f t="shared" si="10"/>
        <v>CONVERTITORE DI COMBUSTIBILE</v>
      </c>
      <c r="C408" t="s">
        <v>2925</v>
      </c>
      <c r="D408" s="470" t="s">
        <v>8416</v>
      </c>
      <c r="E408" s="470" t="s">
        <v>8862</v>
      </c>
      <c r="F408" s="471" t="s">
        <v>7944</v>
      </c>
      <c r="G408" t="s">
        <v>9449</v>
      </c>
      <c r="H408" s="89" t="s">
        <v>7096</v>
      </c>
      <c r="I408" s="89" t="s">
        <v>5968</v>
      </c>
      <c r="J408" s="89" t="s">
        <v>5887</v>
      </c>
      <c r="K408" s="456" t="s">
        <v>5805</v>
      </c>
    </row>
    <row r="409" spans="1:11" x14ac:dyDescent="0.3">
      <c r="A409" t="s">
        <v>4541</v>
      </c>
      <c r="B409" t="str">
        <f t="shared" si="10"/>
        <v>AVVERTENZA:</v>
      </c>
      <c r="C409" t="s">
        <v>4531</v>
      </c>
      <c r="D409" s="470" t="s">
        <v>8417</v>
      </c>
      <c r="E409" s="470" t="s">
        <v>8863</v>
      </c>
      <c r="F409" s="471" t="s">
        <v>7945</v>
      </c>
      <c r="G409" t="s">
        <v>9450</v>
      </c>
      <c r="H409" s="89" t="s">
        <v>7097</v>
      </c>
      <c r="I409" s="89" t="s">
        <v>6404</v>
      </c>
      <c r="J409" s="89" t="s">
        <v>7448</v>
      </c>
      <c r="K409" s="456" t="s">
        <v>6736</v>
      </c>
    </row>
    <row r="410" spans="1:11" ht="115.2" x14ac:dyDescent="0.3">
      <c r="A410" t="s">
        <v>4542</v>
      </c>
      <c r="B410" t="str">
        <f t="shared" si="10"/>
        <v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v>
      </c>
      <c r="C410" t="s">
        <v>4532</v>
      </c>
      <c r="D410" s="470" t="s">
        <v>8418</v>
      </c>
      <c r="E410" s="470" t="s">
        <v>8864</v>
      </c>
      <c r="F410" s="471" t="s">
        <v>7946</v>
      </c>
      <c r="G410" t="s">
        <v>9451</v>
      </c>
      <c r="H410" s="89" t="s">
        <v>7098</v>
      </c>
      <c r="I410" s="89" t="s">
        <v>6405</v>
      </c>
      <c r="J410" s="89" t="s">
        <v>7449</v>
      </c>
      <c r="K410" s="456" t="s">
        <v>6512</v>
      </c>
    </row>
    <row r="411" spans="1:11" ht="129.6" x14ac:dyDescent="0.3">
      <c r="A411" t="s">
        <v>4543</v>
      </c>
      <c r="B411" t="str">
        <f t="shared" si="10"/>
        <v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v>
      </c>
      <c r="C411" t="s">
        <v>4533</v>
      </c>
      <c r="D411" s="470" t="s">
        <v>8419</v>
      </c>
      <c r="E411" s="470" t="s">
        <v>8865</v>
      </c>
      <c r="F411" s="471" t="s">
        <v>7947</v>
      </c>
      <c r="G411" t="s">
        <v>9452</v>
      </c>
      <c r="H411" s="89" t="s">
        <v>7099</v>
      </c>
      <c r="I411" s="89" t="s">
        <v>6406</v>
      </c>
      <c r="J411" s="89" t="s">
        <v>7450</v>
      </c>
      <c r="K411" s="456" t="s">
        <v>6737</v>
      </c>
    </row>
    <row r="412" spans="1:11" ht="129.6" x14ac:dyDescent="0.3">
      <c r="A412" t="s">
        <v>4572</v>
      </c>
      <c r="B412" t="str">
        <f t="shared" si="10"/>
        <v>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v>
      </c>
      <c r="C412" t="s">
        <v>4534</v>
      </c>
      <c r="D412" s="470" t="s">
        <v>8420</v>
      </c>
      <c r="E412" s="470" t="s">
        <v>8866</v>
      </c>
      <c r="F412" s="471" t="s">
        <v>7948</v>
      </c>
      <c r="G412" t="s">
        <v>9453</v>
      </c>
      <c r="H412" s="89" t="s">
        <v>7100</v>
      </c>
      <c r="I412" s="89" t="s">
        <v>6407</v>
      </c>
      <c r="J412" s="89" t="s">
        <v>7451</v>
      </c>
      <c r="K412" s="456" t="s">
        <v>6513</v>
      </c>
    </row>
    <row r="413" spans="1:11" ht="57.6" x14ac:dyDescent="0.3">
      <c r="A413" t="s">
        <v>4544</v>
      </c>
      <c r="B413" t="str">
        <f t="shared" si="10"/>
        <v>Indica che la cella deve essere compilata selezionando un valore dal menu a tendina (ad esempio Tipo di carburante o Unità di misura) oppure inserendo un importo.</v>
      </c>
      <c r="C413" t="s">
        <v>3775</v>
      </c>
      <c r="D413" s="470" t="s">
        <v>8421</v>
      </c>
      <c r="E413" s="470" t="s">
        <v>8867</v>
      </c>
      <c r="F413" s="471" t="s">
        <v>7949</v>
      </c>
      <c r="G413" t="s">
        <v>9454</v>
      </c>
      <c r="H413" s="89" t="s">
        <v>7101</v>
      </c>
      <c r="I413" s="89" t="s">
        <v>6408</v>
      </c>
      <c r="J413" s="89" t="s">
        <v>7452</v>
      </c>
      <c r="K413" s="456" t="s">
        <v>6738</v>
      </c>
    </row>
    <row r="414" spans="1:11" x14ac:dyDescent="0.3">
      <c r="A414" t="s">
        <v>4545</v>
      </c>
      <c r="B414" t="str">
        <f t="shared" si="10"/>
        <v>Tipo di combustibile</v>
      </c>
      <c r="C414" t="s">
        <v>4063</v>
      </c>
      <c r="D414" s="470" t="s">
        <v>8422</v>
      </c>
      <c r="E414" s="470" t="s">
        <v>8868</v>
      </c>
      <c r="F414" s="471" t="s">
        <v>7950</v>
      </c>
      <c r="G414" t="s">
        <v>9455</v>
      </c>
      <c r="H414" s="89" t="s">
        <v>7102</v>
      </c>
      <c r="I414" s="89" t="s">
        <v>5969</v>
      </c>
      <c r="J414" s="89" t="s">
        <v>6095</v>
      </c>
      <c r="K414" s="456" t="s">
        <v>5806</v>
      </c>
    </row>
    <row r="415" spans="1:11" x14ac:dyDescent="0.3">
      <c r="A415" t="s">
        <v>4546</v>
      </c>
      <c r="B415" t="str">
        <f t="shared" si="10"/>
        <v>Importo</v>
      </c>
      <c r="C415" t="s">
        <v>3024</v>
      </c>
      <c r="D415" s="470" t="s">
        <v>8423</v>
      </c>
      <c r="E415" s="470" t="s">
        <v>8869</v>
      </c>
      <c r="F415" s="471" t="s">
        <v>7951</v>
      </c>
      <c r="G415" t="s">
        <v>9456</v>
      </c>
      <c r="H415" s="89" t="s">
        <v>7103</v>
      </c>
      <c r="I415" s="89" t="s">
        <v>6409</v>
      </c>
      <c r="J415" s="89" t="s">
        <v>5888</v>
      </c>
      <c r="K415" s="456" t="s">
        <v>6739</v>
      </c>
    </row>
    <row r="416" spans="1:11" x14ac:dyDescent="0.3">
      <c r="A416" t="s">
        <v>4547</v>
      </c>
      <c r="B416" t="str">
        <f t="shared" si="10"/>
        <v>Stato della materia</v>
      </c>
      <c r="C416" t="s">
        <v>3019</v>
      </c>
      <c r="D416" s="470" t="s">
        <v>8424</v>
      </c>
      <c r="E416" s="470" t="s">
        <v>8870</v>
      </c>
      <c r="F416" s="471" t="s">
        <v>7952</v>
      </c>
      <c r="G416" t="s">
        <v>9457</v>
      </c>
      <c r="H416" s="89" t="s">
        <v>7104</v>
      </c>
      <c r="I416" s="89" t="s">
        <v>5970</v>
      </c>
      <c r="J416" s="89" t="s">
        <v>5889</v>
      </c>
      <c r="K416" s="456" t="s">
        <v>6740</v>
      </c>
    </row>
    <row r="417" spans="1:11" x14ac:dyDescent="0.3">
      <c r="A417" t="s">
        <v>4548</v>
      </c>
      <c r="B417" t="str">
        <f t="shared" si="10"/>
        <v>Stato tipico delle energie rinnovabili</v>
      </c>
      <c r="C417" t="s">
        <v>4064</v>
      </c>
      <c r="D417" s="470" t="s">
        <v>8425</v>
      </c>
      <c r="E417" s="470" t="s">
        <v>8871</v>
      </c>
      <c r="F417" s="471" t="s">
        <v>7953</v>
      </c>
      <c r="G417" t="s">
        <v>9458</v>
      </c>
      <c r="H417" s="89" t="s">
        <v>7105</v>
      </c>
      <c r="I417" s="89" t="s">
        <v>5971</v>
      </c>
      <c r="J417" s="89" t="s">
        <v>5890</v>
      </c>
      <c r="K417" s="456" t="s">
        <v>5807</v>
      </c>
    </row>
    <row r="418" spans="1:11" x14ac:dyDescent="0.3">
      <c r="A418" t="s">
        <v>4549</v>
      </c>
      <c r="B418" t="str">
        <f t="shared" si="10"/>
        <v>Energia calcolata in MWh</v>
      </c>
      <c r="C418" t="s">
        <v>4065</v>
      </c>
      <c r="D418" s="470" t="s">
        <v>8426</v>
      </c>
      <c r="E418" s="470" t="s">
        <v>8872</v>
      </c>
      <c r="F418" s="471" t="s">
        <v>7954</v>
      </c>
      <c r="G418" t="s">
        <v>9459</v>
      </c>
      <c r="H418" s="89" t="s">
        <v>7106</v>
      </c>
      <c r="I418" s="89" t="s">
        <v>6077</v>
      </c>
      <c r="J418" s="89" t="s">
        <v>7453</v>
      </c>
      <c r="K418" s="456" t="s">
        <v>5808</v>
      </c>
    </row>
    <row r="419" spans="1:11" x14ac:dyDescent="0.3">
      <c r="A419" t="s">
        <v>4550</v>
      </c>
      <c r="B419" t="str">
        <f t="shared" si="10"/>
        <v>Utilizzo del convertitore di combustibile:</v>
      </c>
      <c r="C419" t="s">
        <v>3673</v>
      </c>
      <c r="D419" s="470" t="s">
        <v>8427</v>
      </c>
      <c r="E419" s="470" t="s">
        <v>8873</v>
      </c>
      <c r="F419" s="471" t="s">
        <v>7955</v>
      </c>
      <c r="G419" t="s">
        <v>9460</v>
      </c>
      <c r="H419" s="89" t="s">
        <v>7107</v>
      </c>
      <c r="I419" s="89" t="s">
        <v>6410</v>
      </c>
      <c r="J419" s="89" t="s">
        <v>7454</v>
      </c>
      <c r="K419" s="456" t="s">
        <v>6741</v>
      </c>
    </row>
    <row r="420" spans="1:11" ht="43.2" x14ac:dyDescent="0.3">
      <c r="A420" t="s">
        <v>4573</v>
      </c>
      <c r="B420" t="str">
        <f t="shared" si="10"/>
        <v xml:space="preserve">1. Nella cella A9 selezionare il Combustibile utilizzato, cercandolo o scorrendo l'elenco visualizzato e cliccando sulla cella
</v>
      </c>
      <c r="C420" t="s">
        <v>4066</v>
      </c>
      <c r="D420" s="470" t="s">
        <v>8428</v>
      </c>
      <c r="E420" s="470" t="s">
        <v>8874</v>
      </c>
      <c r="F420" s="471" t="s">
        <v>7956</v>
      </c>
      <c r="G420" t="s">
        <v>9461</v>
      </c>
      <c r="H420" s="89" t="s">
        <v>7108</v>
      </c>
      <c r="I420" s="89" t="s">
        <v>6411</v>
      </c>
      <c r="J420" s="89" t="s">
        <v>7503</v>
      </c>
      <c r="K420" s="456" t="s">
        <v>6742</v>
      </c>
    </row>
    <row r="421" spans="1:11" x14ac:dyDescent="0.3">
      <c r="A421" t="s">
        <v>4551</v>
      </c>
      <c r="B421" t="str">
        <f t="shared" si="10"/>
        <v>2. Nella cella B9 selezionare l'unità di misura utilizzata</v>
      </c>
      <c r="C421" t="s">
        <v>4067</v>
      </c>
      <c r="D421" s="470" t="s">
        <v>8429</v>
      </c>
      <c r="E421" s="470" t="s">
        <v>8875</v>
      </c>
      <c r="F421" s="471" t="s">
        <v>7957</v>
      </c>
      <c r="G421" t="s">
        <v>9462</v>
      </c>
      <c r="H421" s="89" t="s">
        <v>6042</v>
      </c>
      <c r="I421" s="89" t="s">
        <v>6412</v>
      </c>
      <c r="J421" s="89" t="s">
        <v>7502</v>
      </c>
      <c r="K421" s="456" t="s">
        <v>6786</v>
      </c>
    </row>
    <row r="422" spans="1:11" ht="28.8" x14ac:dyDescent="0.3">
      <c r="A422" t="s">
        <v>4552</v>
      </c>
      <c r="B422" t="str">
        <f t="shared" si="10"/>
        <v>3. Nella cella C9 selezionare la Quantità di combustibile utilizzata</v>
      </c>
      <c r="C422" t="s">
        <v>4068</v>
      </c>
      <c r="D422" s="470" t="s">
        <v>8430</v>
      </c>
      <c r="E422" s="470" t="s">
        <v>8876</v>
      </c>
      <c r="F422" s="471" t="s">
        <v>7958</v>
      </c>
      <c r="G422" t="s">
        <v>9463</v>
      </c>
      <c r="H422" s="89" t="s">
        <v>7109</v>
      </c>
      <c r="I422" s="89" t="s">
        <v>5972</v>
      </c>
      <c r="J422" s="89" t="s">
        <v>7455</v>
      </c>
      <c r="K422" s="456" t="s">
        <v>6787</v>
      </c>
    </row>
    <row r="423" spans="1:11" ht="28.8" x14ac:dyDescent="0.3">
      <c r="A423" t="s">
        <v>4553</v>
      </c>
      <c r="B423" t="str">
        <f t="shared" si="10"/>
        <v xml:space="preserve">4. Nella cella D9 è visualizzato lo Stato della materia per il Combustibile selezionato
</v>
      </c>
      <c r="C423" t="s">
        <v>4070</v>
      </c>
      <c r="D423" s="470" t="s">
        <v>8431</v>
      </c>
      <c r="E423" s="470" t="s">
        <v>8877</v>
      </c>
      <c r="F423" s="471" t="s">
        <v>7959</v>
      </c>
      <c r="G423" t="s">
        <v>9464</v>
      </c>
      <c r="H423" s="89" t="s">
        <v>7110</v>
      </c>
      <c r="I423" s="89" t="s">
        <v>5973</v>
      </c>
      <c r="J423" s="89" t="s">
        <v>7456</v>
      </c>
      <c r="K423" s="456" t="s">
        <v>6788</v>
      </c>
    </row>
    <row r="424" spans="1:11" ht="28.8" x14ac:dyDescent="0.3">
      <c r="A424" t="s">
        <v>4554</v>
      </c>
      <c r="B424" t="str">
        <f t="shared" si="10"/>
        <v xml:space="preserve">5. Nella cella E9 è indicato lo stato tipico di rinnovabilità per il Combustibile selezionato
</v>
      </c>
      <c r="C424" t="s">
        <v>4069</v>
      </c>
      <c r="D424" s="470" t="s">
        <v>8432</v>
      </c>
      <c r="E424" s="470" t="s">
        <v>8878</v>
      </c>
      <c r="F424" s="471" t="s">
        <v>7960</v>
      </c>
      <c r="G424" t="s">
        <v>9465</v>
      </c>
      <c r="H424" s="89" t="s">
        <v>7111</v>
      </c>
      <c r="I424" s="89" t="s">
        <v>6413</v>
      </c>
      <c r="J424" s="89" t="s">
        <v>7504</v>
      </c>
      <c r="K424" s="456" t="s">
        <v>6789</v>
      </c>
    </row>
    <row r="425" spans="1:11" ht="28.8" x14ac:dyDescent="0.3">
      <c r="A425" t="s">
        <v>4555</v>
      </c>
      <c r="B425" t="str">
        <f t="shared" si="10"/>
        <v xml:space="preserve">6. Nella cella F9 è visualizzata l'energia prodotta in Megawatt-ora per la quantità di combustibile specificata
</v>
      </c>
      <c r="C425" t="s">
        <v>4071</v>
      </c>
      <c r="D425" s="470" t="s">
        <v>8433</v>
      </c>
      <c r="E425" s="470" t="s">
        <v>8879</v>
      </c>
      <c r="F425" s="471" t="s">
        <v>7961</v>
      </c>
      <c r="G425" t="s">
        <v>9466</v>
      </c>
      <c r="H425" s="89" t="s">
        <v>7112</v>
      </c>
      <c r="I425" s="89" t="s">
        <v>6414</v>
      </c>
      <c r="J425" s="89" t="s">
        <v>7505</v>
      </c>
      <c r="K425" s="456" t="s">
        <v>6790</v>
      </c>
    </row>
    <row r="426" spans="1:11" ht="28.8" x14ac:dyDescent="0.3">
      <c r="A426" t="s">
        <v>4556</v>
      </c>
      <c r="B426" t="str">
        <f t="shared" si="10"/>
        <v>7. Nella cella A28 è visualizzato il Consumo totale di energia in Megawatt-ora</v>
      </c>
      <c r="C426" t="s">
        <v>4535</v>
      </c>
      <c r="D426" s="470" t="s">
        <v>8434</v>
      </c>
      <c r="E426" s="470" t="s">
        <v>8880</v>
      </c>
      <c r="F426" s="471" t="s">
        <v>7962</v>
      </c>
      <c r="G426" t="s">
        <v>9467</v>
      </c>
      <c r="H426" s="89" t="s">
        <v>7113</v>
      </c>
      <c r="I426" s="89" t="s">
        <v>6078</v>
      </c>
      <c r="J426" s="89" t="s">
        <v>7506</v>
      </c>
      <c r="K426" s="456" t="s">
        <v>6791</v>
      </c>
    </row>
    <row r="427" spans="1:11" ht="28.8" x14ac:dyDescent="0.3">
      <c r="A427" t="s">
        <v>4557</v>
      </c>
      <c r="B427" t="str">
        <f t="shared" si="10"/>
        <v>8. Nella cella A31 è visualizzato il Totale Energia Rinnovabile in Megawatt-ora</v>
      </c>
      <c r="C427" t="s">
        <v>4536</v>
      </c>
      <c r="D427" s="470" t="s">
        <v>8435</v>
      </c>
      <c r="E427" s="470" t="s">
        <v>8881</v>
      </c>
      <c r="F427" s="471" t="s">
        <v>7963</v>
      </c>
      <c r="G427" t="s">
        <v>9468</v>
      </c>
      <c r="H427" s="89" t="s">
        <v>7114</v>
      </c>
      <c r="I427" s="89" t="s">
        <v>6079</v>
      </c>
      <c r="J427" s="89" t="s">
        <v>7507</v>
      </c>
      <c r="K427" s="456" t="s">
        <v>6792</v>
      </c>
    </row>
    <row r="428" spans="1:11" ht="28.8" x14ac:dyDescent="0.3">
      <c r="A428" t="s">
        <v>4574</v>
      </c>
      <c r="B428" t="str">
        <f t="shared" si="10"/>
        <v>9. Nella cella B31 è visualizzato il Totale Energia Non Rinnovabile in Megawatt-ora</v>
      </c>
      <c r="C428" t="s">
        <v>4537</v>
      </c>
      <c r="D428" s="470" t="s">
        <v>8436</v>
      </c>
      <c r="E428" s="470" t="s">
        <v>8882</v>
      </c>
      <c r="F428" s="471" t="s">
        <v>7964</v>
      </c>
      <c r="G428" t="s">
        <v>9469</v>
      </c>
      <c r="H428" s="89" t="s">
        <v>7115</v>
      </c>
      <c r="I428" s="89" t="s">
        <v>5974</v>
      </c>
      <c r="J428" s="89" t="s">
        <v>7508</v>
      </c>
      <c r="K428" s="456" t="s">
        <v>6793</v>
      </c>
    </row>
    <row r="429" spans="1:11" x14ac:dyDescent="0.3">
      <c r="A429" t="s">
        <v>4558</v>
      </c>
      <c r="B429" t="str">
        <f t="shared" si="10"/>
        <v>10. Ulteriori note sono riportate di seguito</v>
      </c>
      <c r="C429" t="s">
        <v>4538</v>
      </c>
      <c r="D429" s="470" t="s">
        <v>8437</v>
      </c>
      <c r="E429" s="470" t="s">
        <v>8883</v>
      </c>
      <c r="F429" s="471" t="s">
        <v>7965</v>
      </c>
      <c r="G429" t="s">
        <v>9470</v>
      </c>
      <c r="H429" s="89" t="s">
        <v>7116</v>
      </c>
      <c r="I429" s="89" t="s">
        <v>5975</v>
      </c>
      <c r="J429" s="89" t="s">
        <v>7457</v>
      </c>
      <c r="K429" s="456" t="s">
        <v>6794</v>
      </c>
    </row>
    <row r="430" spans="1:11" ht="28.8" x14ac:dyDescent="0.3">
      <c r="A430" t="s">
        <v>4559</v>
      </c>
      <c r="B430" t="str">
        <f t="shared" si="10"/>
        <v>Trasferire i risultati totali calcolati alla cella di B3 "Consumo di energia da combustibili"</v>
      </c>
      <c r="C430" t="s">
        <v>4635</v>
      </c>
      <c r="D430" s="470" t="s">
        <v>8438</v>
      </c>
      <c r="E430" s="470" t="s">
        <v>8884</v>
      </c>
      <c r="F430" s="471" t="s">
        <v>7966</v>
      </c>
      <c r="G430" t="s">
        <v>9471</v>
      </c>
      <c r="H430" s="89" t="s">
        <v>7117</v>
      </c>
      <c r="I430" s="89" t="s">
        <v>6415</v>
      </c>
      <c r="J430" s="89" t="s">
        <v>7458</v>
      </c>
      <c r="K430" s="456" t="s">
        <v>6743</v>
      </c>
    </row>
    <row r="431" spans="1:11" x14ac:dyDescent="0.3">
      <c r="A431" t="s">
        <v>4560</v>
      </c>
      <c r="B431" t="str">
        <f t="shared" si="10"/>
        <v>Totale consumo di energia [MWh]</v>
      </c>
      <c r="C431" t="s">
        <v>3561</v>
      </c>
      <c r="D431" s="470" t="s">
        <v>8439</v>
      </c>
      <c r="E431" s="470" t="s">
        <v>8885</v>
      </c>
      <c r="F431" s="471" t="s">
        <v>7967</v>
      </c>
      <c r="G431" t="s">
        <v>9472</v>
      </c>
      <c r="H431" s="89" t="s">
        <v>6062</v>
      </c>
      <c r="I431" s="89" t="s">
        <v>6416</v>
      </c>
      <c r="J431" s="89" t="s">
        <v>5891</v>
      </c>
      <c r="K431" s="456" t="s">
        <v>6744</v>
      </c>
    </row>
    <row r="432" spans="1:11" ht="57.6" x14ac:dyDescent="0.3">
      <c r="A432" t="s">
        <v>4561</v>
      </c>
      <c r="B432" t="str">
        <f t="shared" si="10"/>
        <v>Totale consumo di energia rinnovabile [MWh]</v>
      </c>
      <c r="C432" t="s">
        <v>3543</v>
      </c>
      <c r="D432" s="470" t="s">
        <v>8440</v>
      </c>
      <c r="E432" s="470" t="s">
        <v>8886</v>
      </c>
      <c r="F432" s="471" t="s">
        <v>7968</v>
      </c>
      <c r="G432" t="s">
        <v>9473</v>
      </c>
      <c r="H432" s="89" t="s">
        <v>7118</v>
      </c>
      <c r="I432" s="89" t="s">
        <v>6417</v>
      </c>
      <c r="J432" s="89" t="s">
        <v>7459</v>
      </c>
      <c r="K432" s="456" t="s">
        <v>6745</v>
      </c>
    </row>
    <row r="433" spans="1:11" x14ac:dyDescent="0.3">
      <c r="A433" t="s">
        <v>4575</v>
      </c>
      <c r="B433" t="str">
        <f t="shared" si="10"/>
        <v>Totale consumo di energia non rinnovabile [MWh]</v>
      </c>
      <c r="C433" t="s">
        <v>3544</v>
      </c>
      <c r="D433" s="470" t="s">
        <v>8441</v>
      </c>
      <c r="E433" s="470" t="s">
        <v>8887</v>
      </c>
      <c r="F433" s="471" t="s">
        <v>7969</v>
      </c>
      <c r="G433" t="s">
        <v>9474</v>
      </c>
      <c r="H433" s="89" t="s">
        <v>7119</v>
      </c>
      <c r="I433" s="89" t="s">
        <v>6418</v>
      </c>
      <c r="J433" s="89" t="s">
        <v>7460</v>
      </c>
      <c r="K433" s="456" t="s">
        <v>6746</v>
      </c>
    </row>
    <row r="434" spans="1:11" x14ac:dyDescent="0.3">
      <c r="A434" t="s">
        <v>4562</v>
      </c>
      <c r="B434" t="str">
        <f t="shared" si="10"/>
        <v>Ulteriori note:</v>
      </c>
      <c r="C434" t="s">
        <v>3672</v>
      </c>
      <c r="D434" s="470" t="s">
        <v>8442</v>
      </c>
      <c r="E434" s="470" t="s">
        <v>8888</v>
      </c>
      <c r="F434" s="471" t="s">
        <v>7970</v>
      </c>
      <c r="G434" t="s">
        <v>9475</v>
      </c>
      <c r="H434" s="89" t="s">
        <v>7120</v>
      </c>
      <c r="I434" s="89" t="s">
        <v>5976</v>
      </c>
      <c r="J434" s="89" t="s">
        <v>7461</v>
      </c>
      <c r="K434" s="456" t="s">
        <v>5809</v>
      </c>
    </row>
    <row r="435" spans="1:11" s="12" customFormat="1" ht="15" customHeight="1" thickBot="1" x14ac:dyDescent="0.35">
      <c r="A435" s="12" t="s">
        <v>4563</v>
      </c>
      <c r="B435" s="12" t="str">
        <f t="shared" si="10"/>
        <v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v>
      </c>
      <c r="C435" s="458" t="s">
        <v>3671</v>
      </c>
      <c r="D435" s="478" t="s">
        <v>8443</v>
      </c>
      <c r="E435" s="478" t="s">
        <v>8889</v>
      </c>
      <c r="F435" s="472" t="s">
        <v>7971</v>
      </c>
      <c r="G435" s="12" t="s">
        <v>9476</v>
      </c>
      <c r="H435" s="424" t="s">
        <v>7121</v>
      </c>
      <c r="I435" s="424" t="s">
        <v>6419</v>
      </c>
      <c r="J435" s="424" t="s">
        <v>7462</v>
      </c>
      <c r="K435" s="476" t="s">
        <v>6514</v>
      </c>
    </row>
    <row r="436" spans="1:11" ht="28.8" x14ac:dyDescent="0.3">
      <c r="A436" t="s">
        <v>4564</v>
      </c>
      <c r="B436" t="str">
        <f t="shared" si="10"/>
        <v>Consumo di energia orario in MWh per combustibili solidi:</v>
      </c>
      <c r="C436" t="s">
        <v>4509</v>
      </c>
      <c r="D436" s="470" t="s">
        <v>8444</v>
      </c>
      <c r="E436" s="470" t="s">
        <v>8890</v>
      </c>
      <c r="F436" s="471" t="s">
        <v>7972</v>
      </c>
      <c r="G436" t="s">
        <v>9477</v>
      </c>
      <c r="H436" s="89" t="s">
        <v>7122</v>
      </c>
      <c r="I436" s="89" t="s">
        <v>6080</v>
      </c>
      <c r="J436" s="89" t="s">
        <v>7463</v>
      </c>
      <c r="K436" s="456" t="s">
        <v>6100</v>
      </c>
    </row>
    <row r="437" spans="1:11" ht="43.2" x14ac:dyDescent="0.3">
      <c r="A437" t="s">
        <v>4565</v>
      </c>
      <c r="B437" t="str">
        <f t="shared" si="10"/>
        <v>Energia [MWh] = Massa [t] * PCN [MWh/t]</v>
      </c>
      <c r="C437" t="s">
        <v>4511</v>
      </c>
      <c r="D437" s="470" t="s">
        <v>8445</v>
      </c>
      <c r="E437" s="470" t="s">
        <v>8891</v>
      </c>
      <c r="F437" s="471" t="s">
        <v>7973</v>
      </c>
      <c r="G437" t="s">
        <v>9478</v>
      </c>
      <c r="H437" s="89" t="s">
        <v>7123</v>
      </c>
      <c r="I437" s="89" t="s">
        <v>6420</v>
      </c>
      <c r="J437" s="89" t="s">
        <v>7464</v>
      </c>
      <c r="K437" s="456" t="s">
        <v>6747</v>
      </c>
    </row>
    <row r="438" spans="1:11" ht="28.8" x14ac:dyDescent="0.3">
      <c r="A438" t="s">
        <v>4566</v>
      </c>
      <c r="B438" t="str">
        <f t="shared" si="10"/>
        <v>Consumo di energia orario in MWh per combustibili liquidi:</v>
      </c>
      <c r="C438" t="s">
        <v>4510</v>
      </c>
      <c r="D438" s="470" t="s">
        <v>8446</v>
      </c>
      <c r="E438" s="470" t="s">
        <v>8892</v>
      </c>
      <c r="F438" s="471" t="s">
        <v>7974</v>
      </c>
      <c r="G438" t="s">
        <v>9479</v>
      </c>
      <c r="H438" s="89" t="s">
        <v>7124</v>
      </c>
      <c r="I438" s="89" t="s">
        <v>6421</v>
      </c>
      <c r="J438" s="89" t="s">
        <v>7465</v>
      </c>
      <c r="K438" s="456" t="s">
        <v>5810</v>
      </c>
    </row>
    <row r="439" spans="1:11" x14ac:dyDescent="0.3">
      <c r="A439" t="s">
        <v>4567</v>
      </c>
      <c r="B439" t="str">
        <f t="shared" si="10"/>
        <v>Massa [t] = Volume [L] * Densità [t/L]</v>
      </c>
      <c r="C439" t="s">
        <v>4512</v>
      </c>
      <c r="D439" s="470" t="s">
        <v>8447</v>
      </c>
      <c r="E439" s="470" t="s">
        <v>8893</v>
      </c>
      <c r="F439" s="471" t="s">
        <v>7975</v>
      </c>
      <c r="G439" t="s">
        <v>9480</v>
      </c>
      <c r="H439" s="89" t="s">
        <v>6043</v>
      </c>
      <c r="I439" s="89" t="s">
        <v>5977</v>
      </c>
      <c r="J439" s="89" t="s">
        <v>5892</v>
      </c>
      <c r="K439" s="456" t="s">
        <v>5811</v>
      </c>
    </row>
    <row r="440" spans="1:11" x14ac:dyDescent="0.3">
      <c r="A440" t="s">
        <v>4568</v>
      </c>
      <c r="B440" t="str">
        <f t="shared" si="10"/>
        <v>Energia [MWh] = Massa [t] * [MWh/t]</v>
      </c>
      <c r="C440" t="s">
        <v>4513</v>
      </c>
      <c r="D440" s="470" t="s">
        <v>8448</v>
      </c>
      <c r="E440" s="470" t="s">
        <v>8894</v>
      </c>
      <c r="F440" s="471" t="s">
        <v>7976</v>
      </c>
      <c r="G440" t="s">
        <v>5692</v>
      </c>
      <c r="H440" s="89" t="s">
        <v>7125</v>
      </c>
      <c r="I440" s="89" t="s">
        <v>5978</v>
      </c>
      <c r="J440" s="89" t="s">
        <v>5692</v>
      </c>
      <c r="K440" s="456" t="s">
        <v>5812</v>
      </c>
    </row>
    <row r="441" spans="1:11" ht="28.8" x14ac:dyDescent="0.3">
      <c r="A441" t="s">
        <v>4569</v>
      </c>
      <c r="B441" t="str">
        <f t="shared" si="10"/>
        <v>Consumo di energia orario in MWh per gas combustibili:</v>
      </c>
      <c r="C441" t="s">
        <v>4514</v>
      </c>
      <c r="D441" s="470" t="s">
        <v>8449</v>
      </c>
      <c r="E441" s="470" t="s">
        <v>8895</v>
      </c>
      <c r="F441" s="471" t="s">
        <v>7977</v>
      </c>
      <c r="G441" t="s">
        <v>9481</v>
      </c>
      <c r="H441" s="89" t="s">
        <v>7126</v>
      </c>
      <c r="I441" s="89" t="s">
        <v>5979</v>
      </c>
      <c r="J441" s="89" t="s">
        <v>7466</v>
      </c>
      <c r="K441" s="456" t="s">
        <v>5813</v>
      </c>
    </row>
    <row r="442" spans="1:11" x14ac:dyDescent="0.3">
      <c r="A442" t="s">
        <v>4570</v>
      </c>
      <c r="B442" t="str">
        <f t="shared" si="10"/>
        <v>Massa [t] = Volume [m³] * Densità [t/m³]</v>
      </c>
      <c r="C442" t="s">
        <v>4539</v>
      </c>
      <c r="D442" s="470" t="s">
        <v>8450</v>
      </c>
      <c r="E442" s="470" t="s">
        <v>8896</v>
      </c>
      <c r="F442" s="471" t="s">
        <v>7978</v>
      </c>
      <c r="G442" t="s">
        <v>9482</v>
      </c>
      <c r="H442" s="89" t="s">
        <v>6063</v>
      </c>
      <c r="I442" s="89" t="s">
        <v>6081</v>
      </c>
      <c r="J442" s="89" t="s">
        <v>6096</v>
      </c>
      <c r="K442" s="456" t="s">
        <v>6101</v>
      </c>
    </row>
    <row r="443" spans="1:11" s="12" customFormat="1" ht="15" thickBot="1" x14ac:dyDescent="0.35">
      <c r="A443" s="12" t="s">
        <v>4571</v>
      </c>
      <c r="B443" s="12" t="str">
        <f t="shared" si="10"/>
        <v>Energia [MWh] = Massa [t] * PCN [MWh/t]</v>
      </c>
      <c r="C443" s="12" t="s">
        <v>4511</v>
      </c>
      <c r="D443" s="478" t="s">
        <v>8445</v>
      </c>
      <c r="E443" s="478" t="s">
        <v>8897</v>
      </c>
      <c r="F443" s="472" t="s">
        <v>7973</v>
      </c>
      <c r="G443" s="12" t="s">
        <v>9478</v>
      </c>
      <c r="H443" s="424" t="s">
        <v>7123</v>
      </c>
      <c r="I443" s="424" t="s">
        <v>6420</v>
      </c>
      <c r="J443" s="424" t="s">
        <v>7464</v>
      </c>
      <c r="K443" s="476" t="s">
        <v>6748</v>
      </c>
    </row>
    <row r="444" spans="1:11" x14ac:dyDescent="0.3">
      <c r="A444" t="s">
        <v>4582</v>
      </c>
      <c r="B444" t="str">
        <f t="shared" si="10"/>
        <v>CONVERTITORE DI UNITÀ DI MISURA</v>
      </c>
      <c r="C444" t="s">
        <v>2928</v>
      </c>
      <c r="D444" s="470" t="s">
        <v>8451</v>
      </c>
      <c r="E444" s="470" t="s">
        <v>8898</v>
      </c>
      <c r="F444" s="471" t="s">
        <v>7979</v>
      </c>
      <c r="G444" t="s">
        <v>9483</v>
      </c>
      <c r="H444" s="89" t="s">
        <v>7127</v>
      </c>
      <c r="I444" s="89" t="s">
        <v>6422</v>
      </c>
      <c r="J444" s="89" t="s">
        <v>7467</v>
      </c>
      <c r="K444" s="456" t="s">
        <v>5814</v>
      </c>
    </row>
    <row r="445" spans="1:11" x14ac:dyDescent="0.3">
      <c r="A445" t="s">
        <v>4588</v>
      </c>
      <c r="B445" t="str">
        <f t="shared" si="10"/>
        <v>Da</v>
      </c>
      <c r="C445" t="s">
        <v>4576</v>
      </c>
      <c r="D445" s="470" t="s">
        <v>8452</v>
      </c>
      <c r="E445" s="470" t="s">
        <v>5693</v>
      </c>
      <c r="F445" s="471" t="s">
        <v>7980</v>
      </c>
      <c r="G445" t="s">
        <v>9484</v>
      </c>
      <c r="H445" s="89" t="s">
        <v>7128</v>
      </c>
      <c r="I445" s="89" t="s">
        <v>5689</v>
      </c>
      <c r="J445" s="89" t="s">
        <v>5693</v>
      </c>
      <c r="K445" s="456" t="s">
        <v>6749</v>
      </c>
    </row>
    <row r="446" spans="1:11" x14ac:dyDescent="0.3">
      <c r="A446" t="s">
        <v>4583</v>
      </c>
      <c r="B446" t="str">
        <f t="shared" si="10"/>
        <v>Unità di misura del convertitore di massa</v>
      </c>
      <c r="C446" t="s">
        <v>2929</v>
      </c>
      <c r="D446" s="470" t="s">
        <v>8453</v>
      </c>
      <c r="E446" s="470" t="s">
        <v>8899</v>
      </c>
      <c r="F446" s="471" t="s">
        <v>7981</v>
      </c>
      <c r="G446" t="s">
        <v>9485</v>
      </c>
      <c r="H446" s="89" t="s">
        <v>7129</v>
      </c>
      <c r="I446" s="89" t="s">
        <v>6423</v>
      </c>
      <c r="J446" s="89" t="s">
        <v>7468</v>
      </c>
      <c r="K446" s="456" t="s">
        <v>6750</v>
      </c>
    </row>
    <row r="447" spans="1:11" x14ac:dyDescent="0.3">
      <c r="A447" t="s">
        <v>4584</v>
      </c>
      <c r="B447" t="str">
        <f t="shared" si="10"/>
        <v>Unità di misura del convertitore di volume</v>
      </c>
      <c r="C447" t="s">
        <v>2931</v>
      </c>
      <c r="D447" s="470" t="s">
        <v>8454</v>
      </c>
      <c r="E447" s="470" t="s">
        <v>8900</v>
      </c>
      <c r="F447" s="471" t="s">
        <v>7982</v>
      </c>
      <c r="G447" t="s">
        <v>9486</v>
      </c>
      <c r="H447" s="89" t="s">
        <v>7130</v>
      </c>
      <c r="I447" s="89" t="s">
        <v>6424</v>
      </c>
      <c r="J447" s="89" t="s">
        <v>7469</v>
      </c>
      <c r="K447" s="456" t="s">
        <v>6751</v>
      </c>
    </row>
    <row r="448" spans="1:11" x14ac:dyDescent="0.3">
      <c r="A448" t="s">
        <v>4585</v>
      </c>
      <c r="B448" t="str">
        <f t="shared" si="10"/>
        <v>Unità di misura del consumo di energia orario</v>
      </c>
      <c r="C448" t="s">
        <v>2932</v>
      </c>
      <c r="D448" s="470" t="s">
        <v>8455</v>
      </c>
      <c r="E448" s="470" t="s">
        <v>8901</v>
      </c>
      <c r="F448" s="471" t="s">
        <v>7983</v>
      </c>
      <c r="G448" t="s">
        <v>9487</v>
      </c>
      <c r="H448" s="89" t="s">
        <v>6044</v>
      </c>
      <c r="I448" s="89" t="s">
        <v>5980</v>
      </c>
      <c r="J448" s="89" t="s">
        <v>7470</v>
      </c>
      <c r="K448" s="456" t="s">
        <v>6752</v>
      </c>
    </row>
    <row r="449" spans="1:11" ht="28.8" x14ac:dyDescent="0.3">
      <c r="A449" t="s">
        <v>4590</v>
      </c>
      <c r="B449" t="str">
        <f t="shared" si="10"/>
        <v>Unità di misura del convertitore PCN</v>
      </c>
      <c r="C449" t="s">
        <v>2934</v>
      </c>
      <c r="D449" s="470" t="s">
        <v>8456</v>
      </c>
      <c r="E449" s="470" t="s">
        <v>8902</v>
      </c>
      <c r="F449" s="471" t="s">
        <v>7984</v>
      </c>
      <c r="G449" t="s">
        <v>9488</v>
      </c>
      <c r="H449" s="89" t="s">
        <v>7131</v>
      </c>
      <c r="I449" s="89" t="s">
        <v>6425</v>
      </c>
      <c r="J449" s="89" t="s">
        <v>5893</v>
      </c>
      <c r="K449" s="456" t="s">
        <v>5815</v>
      </c>
    </row>
    <row r="450" spans="1:11" ht="43.2" x14ac:dyDescent="0.3">
      <c r="A450" t="s">
        <v>4596</v>
      </c>
      <c r="B450" t="str">
        <f t="shared" si="10"/>
        <v>Unità di misura del convertitore di densità</v>
      </c>
      <c r="C450" t="s">
        <v>2933</v>
      </c>
      <c r="D450" s="470" t="s">
        <v>8457</v>
      </c>
      <c r="E450" s="470" t="s">
        <v>8903</v>
      </c>
      <c r="F450" s="471" t="s">
        <v>7985</v>
      </c>
      <c r="G450" t="s">
        <v>9489</v>
      </c>
      <c r="H450" s="89" t="s">
        <v>7132</v>
      </c>
      <c r="I450" s="89" t="s">
        <v>6426</v>
      </c>
      <c r="J450" s="89" t="s">
        <v>7471</v>
      </c>
      <c r="K450" s="456" t="s">
        <v>6753</v>
      </c>
    </row>
    <row r="451" spans="1:11" x14ac:dyDescent="0.3">
      <c r="A451" t="s">
        <v>4586</v>
      </c>
      <c r="B451" t="str">
        <f t="shared" si="10"/>
        <v>Uso del convertitore di unità di misura</v>
      </c>
      <c r="C451" t="s">
        <v>4515</v>
      </c>
      <c r="D451" s="470" t="s">
        <v>8458</v>
      </c>
      <c r="E451" s="470" t="s">
        <v>8904</v>
      </c>
      <c r="F451" s="471" t="s">
        <v>7986</v>
      </c>
      <c r="G451" t="s">
        <v>9490</v>
      </c>
      <c r="H451" s="89" t="s">
        <v>7133</v>
      </c>
      <c r="I451" s="89" t="s">
        <v>6427</v>
      </c>
      <c r="J451" s="89" t="s">
        <v>7472</v>
      </c>
      <c r="K451" s="456" t="s">
        <v>6754</v>
      </c>
    </row>
    <row r="452" spans="1:11" x14ac:dyDescent="0.3">
      <c r="A452" t="s">
        <v>4587</v>
      </c>
      <c r="B452" t="str">
        <f t="shared" ref="B452:B490" si="11">INDEX(C452:K452,MATCH(template_selected_display_language,$C$3:$K$3,0))</f>
        <v>Passi da seguire per la tabella della massa:</v>
      </c>
      <c r="C452" t="s">
        <v>4516</v>
      </c>
      <c r="D452" s="470" t="s">
        <v>8459</v>
      </c>
      <c r="E452" s="470" t="s">
        <v>8905</v>
      </c>
      <c r="F452" s="471" t="s">
        <v>7987</v>
      </c>
      <c r="G452" t="s">
        <v>9491</v>
      </c>
      <c r="H452" s="89" t="s">
        <v>7134</v>
      </c>
      <c r="I452" s="89" t="s">
        <v>6428</v>
      </c>
      <c r="J452" s="89" t="s">
        <v>7473</v>
      </c>
      <c r="K452" s="456" t="s">
        <v>6755</v>
      </c>
    </row>
    <row r="453" spans="1:11" ht="57.6" x14ac:dyDescent="0.3">
      <c r="A453" t="s">
        <v>4595</v>
      </c>
      <c r="B453" t="str">
        <f t="shared" si="11"/>
        <v>1. Nella cella B5 della tabella relativa all'Unità di misura del Convertitore di Massa deve essere inserita l'Unità di misura da convertire.</v>
      </c>
      <c r="C453" t="s">
        <v>4530</v>
      </c>
      <c r="D453" s="470" t="s">
        <v>8460</v>
      </c>
      <c r="E453" s="470" t="s">
        <v>8906</v>
      </c>
      <c r="F453" s="471" t="s">
        <v>7988</v>
      </c>
      <c r="G453" t="s">
        <v>9492</v>
      </c>
      <c r="H453" s="89" t="s">
        <v>7135</v>
      </c>
      <c r="I453" s="89" t="s">
        <v>6429</v>
      </c>
      <c r="J453" s="89" t="s">
        <v>7501</v>
      </c>
      <c r="K453" s="456" t="s">
        <v>6756</v>
      </c>
    </row>
    <row r="454" spans="1:11" ht="28.8" x14ac:dyDescent="0.3">
      <c r="A454" t="s">
        <v>4591</v>
      </c>
      <c r="B454" t="str">
        <f t="shared" si="11"/>
        <v>2. Poi nella cella B6 può essere inserita la quantità di massa.</v>
      </c>
      <c r="C454" t="s">
        <v>4528</v>
      </c>
      <c r="D454" s="470" t="s">
        <v>8461</v>
      </c>
      <c r="E454" s="470" t="s">
        <v>8907</v>
      </c>
      <c r="F454" s="471" t="s">
        <v>7989</v>
      </c>
      <c r="G454" t="s">
        <v>9493</v>
      </c>
      <c r="H454" s="89" t="s">
        <v>7136</v>
      </c>
      <c r="I454" s="89" t="s">
        <v>5981</v>
      </c>
      <c r="J454" s="89" t="s">
        <v>7500</v>
      </c>
      <c r="K454" s="456" t="s">
        <v>6757</v>
      </c>
    </row>
    <row r="455" spans="1:11" ht="28.8" x14ac:dyDescent="0.3">
      <c r="A455" t="s">
        <v>4592</v>
      </c>
      <c r="B455" t="str">
        <f t="shared" si="11"/>
        <v>Infine, nella cella D5 dovrebbe esserci l'unità di misura di interesse.</v>
      </c>
      <c r="C455" t="s">
        <v>4529</v>
      </c>
      <c r="D455" s="470" t="s">
        <v>8462</v>
      </c>
      <c r="E455" s="470" t="s">
        <v>8908</v>
      </c>
      <c r="F455" s="471" t="s">
        <v>7990</v>
      </c>
      <c r="G455" t="s">
        <v>9494</v>
      </c>
      <c r="H455" s="89" t="s">
        <v>7137</v>
      </c>
      <c r="I455" s="89" t="s">
        <v>6430</v>
      </c>
      <c r="J455" s="89" t="s">
        <v>7499</v>
      </c>
      <c r="K455" s="456" t="s">
        <v>6758</v>
      </c>
    </row>
    <row r="456" spans="1:11" x14ac:dyDescent="0.3">
      <c r="A456" t="s">
        <v>4593</v>
      </c>
      <c r="B456" t="str">
        <f t="shared" si="11"/>
        <v>L’esito della conversione sarà visualizzato nella cella D6.</v>
      </c>
      <c r="C456" t="s">
        <v>4527</v>
      </c>
      <c r="D456" s="470" t="s">
        <v>8463</v>
      </c>
      <c r="E456" s="470" t="s">
        <v>8909</v>
      </c>
      <c r="F456" s="471" t="s">
        <v>7991</v>
      </c>
      <c r="G456" t="s">
        <v>9495</v>
      </c>
      <c r="H456" s="89" t="s">
        <v>7138</v>
      </c>
      <c r="I456" s="89" t="s">
        <v>5982</v>
      </c>
      <c r="J456" s="89" t="s">
        <v>5894</v>
      </c>
      <c r="K456" s="456" t="s">
        <v>6759</v>
      </c>
    </row>
    <row r="457" spans="1:11" ht="43.2" x14ac:dyDescent="0.3">
      <c r="A457" t="s">
        <v>4594</v>
      </c>
      <c r="B457" t="str">
        <f t="shared" si="11"/>
        <v>I passaggi da seguire per le altre tabelle (Volume, Consumo di energia, Densità e PCN) sono gli stessi della tabella della Massa.</v>
      </c>
      <c r="C457" t="s">
        <v>4517</v>
      </c>
      <c r="D457" s="470" t="s">
        <v>8464</v>
      </c>
      <c r="E457" s="470" t="s">
        <v>8910</v>
      </c>
      <c r="F457" s="471" t="s">
        <v>7992</v>
      </c>
      <c r="G457" t="s">
        <v>9496</v>
      </c>
      <c r="H457" s="89" t="s">
        <v>7139</v>
      </c>
      <c r="I457" s="89" t="s">
        <v>6431</v>
      </c>
      <c r="J457" s="89" t="s">
        <v>7474</v>
      </c>
      <c r="K457" s="456" t="s">
        <v>6760</v>
      </c>
    </row>
    <row r="458" spans="1:11" ht="28.8" x14ac:dyDescent="0.3">
      <c r="A458" t="s">
        <v>4589</v>
      </c>
      <c r="B458" t="str">
        <f t="shared" si="11"/>
        <v>Di seguito sono specificate tutte le conversioni delle unità di misura di ciascuna tabella.</v>
      </c>
      <c r="C458" t="s">
        <v>4518</v>
      </c>
      <c r="D458" s="470" t="s">
        <v>8465</v>
      </c>
      <c r="E458" s="470" t="s">
        <v>8911</v>
      </c>
      <c r="F458" s="471" t="s">
        <v>7993</v>
      </c>
      <c r="G458" t="s">
        <v>9497</v>
      </c>
      <c r="H458" s="89" t="s">
        <v>7140</v>
      </c>
      <c r="I458" s="89" t="s">
        <v>6432</v>
      </c>
      <c r="J458" s="89" t="s">
        <v>7475</v>
      </c>
      <c r="K458" s="456" t="s">
        <v>5816</v>
      </c>
    </row>
    <row r="459" spans="1:11" x14ac:dyDescent="0.3">
      <c r="A459" t="s">
        <v>4601</v>
      </c>
      <c r="B459" t="str">
        <f t="shared" si="11"/>
        <v>▪ Unità di misura del convertitore di massa:</v>
      </c>
      <c r="C459" t="s">
        <v>4577</v>
      </c>
      <c r="D459" s="470" t="s">
        <v>8466</v>
      </c>
      <c r="E459" s="470" t="s">
        <v>8912</v>
      </c>
      <c r="F459" s="471" t="s">
        <v>8973</v>
      </c>
      <c r="G459" t="s">
        <v>9498</v>
      </c>
      <c r="H459" s="89" t="s">
        <v>8996</v>
      </c>
      <c r="I459" s="89" t="s">
        <v>6433</v>
      </c>
      <c r="J459" s="89" t="s">
        <v>5895</v>
      </c>
      <c r="K459" s="456" t="s">
        <v>6761</v>
      </c>
    </row>
    <row r="460" spans="1:11" x14ac:dyDescent="0.3">
      <c r="A460" t="s">
        <v>4600</v>
      </c>
      <c r="B460" t="str">
        <f t="shared" si="11"/>
        <v>▪ Unità di misura del convertitore di volume:</v>
      </c>
      <c r="C460" t="s">
        <v>4578</v>
      </c>
      <c r="D460" s="470" t="s">
        <v>8467</v>
      </c>
      <c r="E460" s="470" t="s">
        <v>8913</v>
      </c>
      <c r="F460" s="471" t="s">
        <v>8974</v>
      </c>
      <c r="G460" t="s">
        <v>9499</v>
      </c>
      <c r="H460" s="89" t="s">
        <v>8997</v>
      </c>
      <c r="I460" s="89" t="s">
        <v>6434</v>
      </c>
      <c r="J460" s="89" t="s">
        <v>7498</v>
      </c>
      <c r="K460" s="456" t="s">
        <v>6762</v>
      </c>
    </row>
    <row r="461" spans="1:11" x14ac:dyDescent="0.3">
      <c r="A461" t="s">
        <v>4599</v>
      </c>
      <c r="B461" t="str">
        <f t="shared" si="11"/>
        <v>▪ Unità di misura del Convertitore di Energia:</v>
      </c>
      <c r="C461" t="s">
        <v>4579</v>
      </c>
      <c r="D461" s="470" t="s">
        <v>8468</v>
      </c>
      <c r="E461" s="470" t="s">
        <v>8914</v>
      </c>
      <c r="F461" s="471" t="s">
        <v>8975</v>
      </c>
      <c r="G461" t="s">
        <v>9500</v>
      </c>
      <c r="H461" s="89" t="s">
        <v>8998</v>
      </c>
      <c r="I461" s="89" t="s">
        <v>6435</v>
      </c>
      <c r="J461" s="89" t="s">
        <v>7497</v>
      </c>
      <c r="K461" s="456" t="s">
        <v>6763</v>
      </c>
    </row>
    <row r="462" spans="1:11" x14ac:dyDescent="0.3">
      <c r="A462" t="s">
        <v>4598</v>
      </c>
      <c r="B462" t="str">
        <f t="shared" si="11"/>
        <v>▪ Unità di misura del convertitore di densità:</v>
      </c>
      <c r="C462" t="s">
        <v>4580</v>
      </c>
      <c r="D462" s="470" t="s">
        <v>8469</v>
      </c>
      <c r="E462" s="470" t="s">
        <v>8915</v>
      </c>
      <c r="F462" s="471" t="s">
        <v>8976</v>
      </c>
      <c r="G462" t="s">
        <v>9501</v>
      </c>
      <c r="H462" s="89" t="s">
        <v>8999</v>
      </c>
      <c r="I462" s="89" t="s">
        <v>6436</v>
      </c>
      <c r="J462" s="89" t="s">
        <v>7476</v>
      </c>
      <c r="K462" s="456" t="s">
        <v>6764</v>
      </c>
    </row>
    <row r="463" spans="1:11" s="12" customFormat="1" ht="15" thickBot="1" x14ac:dyDescent="0.35">
      <c r="A463" s="12" t="s">
        <v>4597</v>
      </c>
      <c r="B463" s="12" t="str">
        <f t="shared" si="11"/>
        <v>▪ Unità di misura del convertitore PCN:</v>
      </c>
      <c r="C463" s="12" t="s">
        <v>4581</v>
      </c>
      <c r="D463" s="478" t="s">
        <v>8470</v>
      </c>
      <c r="E463" s="478" t="s">
        <v>8916</v>
      </c>
      <c r="F463" s="472" t="s">
        <v>8977</v>
      </c>
      <c r="G463" s="12" t="s">
        <v>9502</v>
      </c>
      <c r="H463" s="424" t="s">
        <v>9000</v>
      </c>
      <c r="I463" s="424" t="s">
        <v>6437</v>
      </c>
      <c r="J463" s="424" t="s">
        <v>7477</v>
      </c>
      <c r="K463" s="476" t="s">
        <v>6765</v>
      </c>
    </row>
    <row r="464" spans="1:11" x14ac:dyDescent="0.3">
      <c r="A464" t="s">
        <v>4604</v>
      </c>
      <c r="B464" t="str">
        <f t="shared" si="11"/>
        <v>INCOMPLETO</v>
      </c>
      <c r="C464" t="s">
        <v>4602</v>
      </c>
      <c r="D464" s="470" t="s">
        <v>8471</v>
      </c>
      <c r="E464" s="470" t="s">
        <v>8917</v>
      </c>
      <c r="F464" s="471" t="s">
        <v>7994</v>
      </c>
      <c r="G464" t="s">
        <v>5696</v>
      </c>
      <c r="H464" s="89" t="s">
        <v>7141</v>
      </c>
      <c r="I464" s="89" t="s">
        <v>6438</v>
      </c>
      <c r="J464" s="89" t="s">
        <v>5696</v>
      </c>
      <c r="K464" s="456" t="s">
        <v>5696</v>
      </c>
    </row>
    <row r="465" spans="1:11" ht="28.8" x14ac:dyDescent="0.3">
      <c r="A465" t="s">
        <v>4605</v>
      </c>
      <c r="B465" t="str">
        <f t="shared" si="11"/>
        <v>COMPLETO</v>
      </c>
      <c r="C465" t="s">
        <v>4603</v>
      </c>
      <c r="D465" s="470" t="s">
        <v>8472</v>
      </c>
      <c r="E465" s="470" t="s">
        <v>8918</v>
      </c>
      <c r="F465" s="471" t="s">
        <v>7995</v>
      </c>
      <c r="G465" t="s">
        <v>5697</v>
      </c>
      <c r="H465" s="89" t="s">
        <v>7142</v>
      </c>
      <c r="I465" s="89" t="s">
        <v>6439</v>
      </c>
      <c r="J465" s="89" t="s">
        <v>5697</v>
      </c>
      <c r="K465" s="456" t="s">
        <v>5697</v>
      </c>
    </row>
    <row r="466" spans="1:11" x14ac:dyDescent="0.3">
      <c r="A466" t="s">
        <v>4617</v>
      </c>
      <c r="B466" t="str">
        <f t="shared" si="11"/>
        <v xml:space="preserve">VALORE MANCANTE
</v>
      </c>
      <c r="C466" t="s">
        <v>4606</v>
      </c>
      <c r="D466" s="470" t="s">
        <v>8473</v>
      </c>
      <c r="E466" s="470" t="s">
        <v>8919</v>
      </c>
      <c r="F466" s="471" t="s">
        <v>7996</v>
      </c>
      <c r="G466" t="s">
        <v>9503</v>
      </c>
      <c r="H466" s="89" t="s">
        <v>7143</v>
      </c>
      <c r="I466" s="89" t="s">
        <v>6440</v>
      </c>
      <c r="J466" s="89" t="s">
        <v>7478</v>
      </c>
      <c r="K466" s="456" t="s">
        <v>6493</v>
      </c>
    </row>
    <row r="467" spans="1:11" x14ac:dyDescent="0.3">
      <c r="A467" t="s">
        <v>4618</v>
      </c>
      <c r="B467" t="str">
        <f t="shared" si="11"/>
        <v>ERRORE</v>
      </c>
      <c r="C467" t="s">
        <v>4607</v>
      </c>
      <c r="D467" s="470" t="s">
        <v>8474</v>
      </c>
      <c r="E467" s="470" t="s">
        <v>8920</v>
      </c>
      <c r="F467" s="471" t="s">
        <v>7997</v>
      </c>
      <c r="G467" t="s">
        <v>9504</v>
      </c>
      <c r="H467" s="89" t="s">
        <v>6045</v>
      </c>
      <c r="I467" s="89" t="s">
        <v>5983</v>
      </c>
      <c r="J467" s="89" t="s">
        <v>5896</v>
      </c>
      <c r="K467" s="456" t="s">
        <v>4607</v>
      </c>
    </row>
    <row r="468" spans="1:11" x14ac:dyDescent="0.3">
      <c r="A468" t="s">
        <v>4619</v>
      </c>
      <c r="B468" t="str">
        <f t="shared" si="11"/>
        <v xml:space="preserve">INCOERENZA DI VALORE 
</v>
      </c>
      <c r="C468" t="s">
        <v>4608</v>
      </c>
      <c r="D468" s="470" t="s">
        <v>8475</v>
      </c>
      <c r="E468" s="470" t="s">
        <v>8921</v>
      </c>
      <c r="F468" s="471" t="s">
        <v>7998</v>
      </c>
      <c r="G468" t="s">
        <v>9505</v>
      </c>
      <c r="H468" s="89" t="s">
        <v>7144</v>
      </c>
      <c r="I468" s="89" t="s">
        <v>5984</v>
      </c>
      <c r="J468" s="89" t="s">
        <v>7479</v>
      </c>
      <c r="K468" s="456" t="s">
        <v>5817</v>
      </c>
    </row>
    <row r="469" spans="1:11" x14ac:dyDescent="0.3">
      <c r="A469" t="s">
        <v>4621</v>
      </c>
      <c r="B469" t="str">
        <f t="shared" si="11"/>
        <v>ERRORE + INCOERENZA DI VALORE</v>
      </c>
      <c r="C469" t="s">
        <v>4609</v>
      </c>
      <c r="D469" s="470" t="s">
        <v>8476</v>
      </c>
      <c r="E469" s="470" t="s">
        <v>8922</v>
      </c>
      <c r="F469" s="471" t="s">
        <v>7999</v>
      </c>
      <c r="G469" t="s">
        <v>9506</v>
      </c>
      <c r="H469" s="89" t="s">
        <v>7145</v>
      </c>
      <c r="I469" s="89" t="s">
        <v>5985</v>
      </c>
      <c r="J469" s="89" t="s">
        <v>5897</v>
      </c>
      <c r="K469" s="456" t="s">
        <v>6494</v>
      </c>
    </row>
    <row r="470" spans="1:11" ht="28.8" x14ac:dyDescent="0.3">
      <c r="A470" t="s">
        <v>4622</v>
      </c>
      <c r="B470" t="str">
        <f t="shared" si="11"/>
        <v>ERRORE + VALORE MANCANTE + INCOERENZA DI VALORE</v>
      </c>
      <c r="C470" t="s">
        <v>4610</v>
      </c>
      <c r="D470" s="470" t="s">
        <v>8477</v>
      </c>
      <c r="E470" s="470" t="s">
        <v>8923</v>
      </c>
      <c r="F470" s="471" t="s">
        <v>8000</v>
      </c>
      <c r="G470" t="s">
        <v>9507</v>
      </c>
      <c r="H470" s="89" t="s">
        <v>7146</v>
      </c>
      <c r="I470" s="89" t="s">
        <v>6441</v>
      </c>
      <c r="J470" s="89" t="s">
        <v>7480</v>
      </c>
      <c r="K470" s="456" t="s">
        <v>6495</v>
      </c>
    </row>
    <row r="471" spans="1:11" x14ac:dyDescent="0.3">
      <c r="A471" t="s">
        <v>4623</v>
      </c>
      <c r="B471" t="str">
        <f t="shared" si="11"/>
        <v>ERRORE + VALORE MANCANTE</v>
      </c>
      <c r="C471" t="s">
        <v>4611</v>
      </c>
      <c r="D471" s="470" t="s">
        <v>8478</v>
      </c>
      <c r="E471" s="470" t="s">
        <v>8924</v>
      </c>
      <c r="F471" s="471" t="s">
        <v>8001</v>
      </c>
      <c r="G471" t="s">
        <v>9508</v>
      </c>
      <c r="H471" s="89" t="s">
        <v>7147</v>
      </c>
      <c r="I471" s="89" t="s">
        <v>6442</v>
      </c>
      <c r="J471" s="89" t="s">
        <v>7481</v>
      </c>
      <c r="K471" s="456" t="s">
        <v>6496</v>
      </c>
    </row>
    <row r="472" spans="1:11" x14ac:dyDescent="0.3">
      <c r="A472" t="s">
        <v>4624</v>
      </c>
      <c r="B472" t="str">
        <f t="shared" si="11"/>
        <v>VALORE MANCANTE + INCOERENZA DI VALORE</v>
      </c>
      <c r="C472" t="s">
        <v>4612</v>
      </c>
      <c r="D472" s="470" t="s">
        <v>8479</v>
      </c>
      <c r="E472" s="470" t="s">
        <v>8925</v>
      </c>
      <c r="F472" s="471" t="s">
        <v>8002</v>
      </c>
      <c r="G472" t="s">
        <v>9509</v>
      </c>
      <c r="H472" s="89" t="s">
        <v>7148</v>
      </c>
      <c r="I472" s="89" t="s">
        <v>6443</v>
      </c>
      <c r="J472" s="89" t="s">
        <v>7482</v>
      </c>
      <c r="K472" s="456" t="s">
        <v>6497</v>
      </c>
    </row>
    <row r="473" spans="1:11" x14ac:dyDescent="0.3">
      <c r="A473" t="s">
        <v>4620</v>
      </c>
      <c r="B473" t="str">
        <f t="shared" si="11"/>
        <v>URL NON VALIDO</v>
      </c>
      <c r="C473" t="s">
        <v>4613</v>
      </c>
      <c r="D473" s="470" t="s">
        <v>8480</v>
      </c>
      <c r="E473" s="470" t="s">
        <v>8926</v>
      </c>
      <c r="F473" s="471" t="s">
        <v>8003</v>
      </c>
      <c r="G473" t="s">
        <v>9510</v>
      </c>
      <c r="H473" s="89" t="s">
        <v>7149</v>
      </c>
      <c r="I473" s="89" t="s">
        <v>6444</v>
      </c>
      <c r="J473" s="89" t="s">
        <v>5898</v>
      </c>
      <c r="K473" s="456" t="s">
        <v>6766</v>
      </c>
    </row>
    <row r="474" spans="1:11" x14ac:dyDescent="0.3">
      <c r="A474" t="s">
        <v>5633</v>
      </c>
      <c r="B474" t="str">
        <f t="shared" si="11"/>
        <v>OK</v>
      </c>
      <c r="C474" t="s">
        <v>5632</v>
      </c>
      <c r="D474" s="470" t="s">
        <v>5632</v>
      </c>
      <c r="E474" s="470" t="s">
        <v>5632</v>
      </c>
      <c r="F474" s="471" t="s">
        <v>5632</v>
      </c>
      <c r="G474" t="s">
        <v>5632</v>
      </c>
      <c r="H474" s="89" t="s">
        <v>7150</v>
      </c>
      <c r="I474" s="89" t="s">
        <v>5632</v>
      </c>
      <c r="J474" s="89" t="s">
        <v>5632</v>
      </c>
      <c r="K474" s="456" t="s">
        <v>6785</v>
      </c>
    </row>
    <row r="475" spans="1:11" ht="28.8" x14ac:dyDescent="0.3">
      <c r="A475" t="s">
        <v>5636</v>
      </c>
      <c r="B475" t="str">
        <f t="shared" si="11"/>
        <v>ℹ️ Combustibile liquido: selezionare un'unità di misura tra m³ e L</v>
      </c>
      <c r="C475" t="s">
        <v>6110</v>
      </c>
      <c r="D475" s="470" t="s">
        <v>8481</v>
      </c>
      <c r="E475" s="470" t="s">
        <v>8927</v>
      </c>
      <c r="F475" s="471" t="s">
        <v>8004</v>
      </c>
      <c r="G475" t="s">
        <v>9511</v>
      </c>
      <c r="H475" s="89" t="s">
        <v>7151</v>
      </c>
      <c r="I475" s="89" t="s">
        <v>6445</v>
      </c>
      <c r="J475" s="89" t="s">
        <v>6127</v>
      </c>
      <c r="K475" s="456" t="s">
        <v>6767</v>
      </c>
    </row>
    <row r="476" spans="1:11" ht="28.8" x14ac:dyDescent="0.3">
      <c r="A476" t="s">
        <v>5634</v>
      </c>
      <c r="B476" t="str">
        <f t="shared" si="11"/>
        <v>ℹ️ Combustibile solido: selezionare un'unità di misura tra Gg, t, Kg e g</v>
      </c>
      <c r="C476" t="s">
        <v>6111</v>
      </c>
      <c r="D476" s="470" t="s">
        <v>8482</v>
      </c>
      <c r="E476" s="470" t="s">
        <v>8928</v>
      </c>
      <c r="F476" s="471" t="s">
        <v>8005</v>
      </c>
      <c r="G476" t="s">
        <v>9512</v>
      </c>
      <c r="H476" s="89" t="s">
        <v>7152</v>
      </c>
      <c r="I476" s="89" t="s">
        <v>6125</v>
      </c>
      <c r="J476" s="89" t="s">
        <v>7496</v>
      </c>
      <c r="K476" s="456" t="s">
        <v>6128</v>
      </c>
    </row>
    <row r="477" spans="1:11" ht="28.8" x14ac:dyDescent="0.3">
      <c r="A477" t="s">
        <v>5635</v>
      </c>
      <c r="B477" t="str">
        <f t="shared" si="11"/>
        <v>ℹ️ Gas combustibili: selezionare un'unità di misura tra m³ e L</v>
      </c>
      <c r="C477" t="s">
        <v>6112</v>
      </c>
      <c r="D477" s="470" t="s">
        <v>8483</v>
      </c>
      <c r="E477" s="470" t="s">
        <v>8929</v>
      </c>
      <c r="F477" s="471" t="s">
        <v>8006</v>
      </c>
      <c r="G477" t="s">
        <v>9513</v>
      </c>
      <c r="H477" s="89" t="s">
        <v>7153</v>
      </c>
      <c r="I477" s="89" t="s">
        <v>6126</v>
      </c>
      <c r="J477" s="89" t="s">
        <v>7483</v>
      </c>
      <c r="K477" s="456" t="s">
        <v>6129</v>
      </c>
    </row>
    <row r="478" spans="1:11" ht="100.8" x14ac:dyDescent="0.3">
      <c r="A478" t="s">
        <v>5670</v>
      </c>
      <c r="B478" t="str">
        <f t="shared" si="11"/>
        <v>ℹ️ L'identificatore dell'impresa è un ID unico che consente di identificare l'impresa che ha fornito le informazioni. Il principio VSME non richiede alcun identificatore specifico. Un identificatore dell'impresa è necessario per la rendicontazione digitale.</v>
      </c>
      <c r="C478" t="s">
        <v>6113</v>
      </c>
      <c r="D478" s="470" t="s">
        <v>8484</v>
      </c>
      <c r="E478" s="470" t="s">
        <v>8930</v>
      </c>
      <c r="F478" s="471" t="s">
        <v>8007</v>
      </c>
      <c r="G478" t="s">
        <v>9514</v>
      </c>
      <c r="H478" s="89" t="s">
        <v>7154</v>
      </c>
      <c r="I478" s="89" t="s">
        <v>6446</v>
      </c>
      <c r="J478" s="89" t="s">
        <v>7484</v>
      </c>
      <c r="K478" s="456" t="s">
        <v>6768</v>
      </c>
    </row>
    <row r="479" spans="1:11" ht="72" x14ac:dyDescent="0.3">
      <c r="A479" t="s">
        <v>5671</v>
      </c>
      <c r="B479" t="str">
        <f t="shared" si="11"/>
        <v>ℹ️ Se sul lato destro appare il messaggio INCOERENZA DI VALORE, assicurarsi che la data di fine del periodo di riferimento sia successiva alla data di inizio del periodo di riferimento.</v>
      </c>
      <c r="C479" t="s">
        <v>6114</v>
      </c>
      <c r="D479" s="470" t="s">
        <v>8485</v>
      </c>
      <c r="E479" s="470" t="s">
        <v>8931</v>
      </c>
      <c r="F479" s="471" t="s">
        <v>8008</v>
      </c>
      <c r="G479" t="s">
        <v>9515</v>
      </c>
      <c r="H479" s="89" t="s">
        <v>7155</v>
      </c>
      <c r="I479" s="89" t="s">
        <v>6447</v>
      </c>
      <c r="J479" s="89" t="s">
        <v>7485</v>
      </c>
      <c r="K479" s="456" t="s">
        <v>6769</v>
      </c>
    </row>
    <row r="480" spans="1:11" ht="72" x14ac:dyDescent="0.3">
      <c r="A480" t="s">
        <v>5672</v>
      </c>
      <c r="B480" t="str">
        <f t="shared" si="11"/>
        <v>ℹ️ Le liste possono essere espanse utilizzando il pulsante piccolo [+] a sinistra. Se il numero di righe non è sufficiente, è possibile aggiungerle facendo clic con il tasto destro sulla seconda riga e selezionando "Inserisci riga".</v>
      </c>
      <c r="C480" t="s">
        <v>6115</v>
      </c>
      <c r="D480" s="470" t="s">
        <v>8486</v>
      </c>
      <c r="E480" s="470" t="s">
        <v>8932</v>
      </c>
      <c r="F480" s="471" t="s">
        <v>8009</v>
      </c>
      <c r="G480" t="s">
        <v>9516</v>
      </c>
      <c r="H480" s="89" t="s">
        <v>7156</v>
      </c>
      <c r="I480" s="89" t="s">
        <v>6448</v>
      </c>
      <c r="J480" s="89" t="s">
        <v>7486</v>
      </c>
      <c r="K480" s="456" t="s">
        <v>6770</v>
      </c>
    </row>
    <row r="481" spans="1:11" ht="28.8" x14ac:dyDescent="0.3">
      <c r="A481" t="s">
        <v>5673</v>
      </c>
      <c r="B481" t="str">
        <f t="shared" si="11"/>
        <v xml:space="preserve">ℹ️ Quando si sceglie "altro" come forma giuridica dell'impresa, si prega di compilare la riga sottostante
</v>
      </c>
      <c r="C481" t="s">
        <v>6116</v>
      </c>
      <c r="D481" s="470" t="s">
        <v>8487</v>
      </c>
      <c r="E481" s="470" t="s">
        <v>8933</v>
      </c>
      <c r="F481" s="471" t="s">
        <v>8010</v>
      </c>
      <c r="G481" t="s">
        <v>9517</v>
      </c>
      <c r="H481" s="89" t="s">
        <v>7157</v>
      </c>
      <c r="I481" s="89" t="s">
        <v>6449</v>
      </c>
      <c r="J481" s="89" t="s">
        <v>7487</v>
      </c>
      <c r="K481" s="456" t="s">
        <v>6771</v>
      </c>
    </row>
    <row r="482" spans="1:11" ht="57.6" x14ac:dyDescent="0.3">
      <c r="A482" t="s">
        <v>5674</v>
      </c>
      <c r="B482" t="str">
        <f t="shared" si="11"/>
        <v>ℹ️ Si prega di selezionare un codice NACE anziché una categoria, altrimenti verrà visualizzato un messaggio di ERRORE.</v>
      </c>
      <c r="C482" t="s">
        <v>6117</v>
      </c>
      <c r="D482" s="470" t="s">
        <v>8488</v>
      </c>
      <c r="E482" s="470" t="s">
        <v>8934</v>
      </c>
      <c r="F482" s="471" t="s">
        <v>8011</v>
      </c>
      <c r="G482" t="s">
        <v>9518</v>
      </c>
      <c r="H482" s="89" t="s">
        <v>7158</v>
      </c>
      <c r="I482" s="89" t="s">
        <v>6450</v>
      </c>
      <c r="J482" s="89" t="s">
        <v>7488</v>
      </c>
      <c r="K482" s="456" t="s">
        <v>6783</v>
      </c>
    </row>
    <row r="483" spans="1:11" ht="43.2" x14ac:dyDescent="0.3">
      <c r="A483" t="s">
        <v>5675</v>
      </c>
      <c r="B483" t="str">
        <f t="shared" si="11"/>
        <v>ℹ️ Si prega di fare attenzione a separare ogni numero della via e numero civico utilizzando il simbolo barra "/" e non la virgola ","</v>
      </c>
      <c r="C483" t="s">
        <v>6118</v>
      </c>
      <c r="D483" s="470" t="s">
        <v>8489</v>
      </c>
      <c r="E483" s="470" t="s">
        <v>8935</v>
      </c>
      <c r="F483" s="471" t="s">
        <v>8012</v>
      </c>
      <c r="G483" t="s">
        <v>9519</v>
      </c>
      <c r="H483" s="89" t="s">
        <v>7159</v>
      </c>
      <c r="I483" s="89" t="s">
        <v>6451</v>
      </c>
      <c r="J483" s="89" t="s">
        <v>7489</v>
      </c>
      <c r="K483" s="456" t="s">
        <v>6772</v>
      </c>
    </row>
    <row r="484" spans="1:11" ht="43.2" x14ac:dyDescent="0.3">
      <c r="A484" t="s">
        <v>5676</v>
      </c>
      <c r="B484" t="str">
        <f t="shared" si="11"/>
        <v>ℹ️ Si prega di notare che la formula presente in questa cella potrebbe essere sovrascritta nel caso in cui l'impresa voglia fornire direttamente il valore.</v>
      </c>
      <c r="C484" t="s">
        <v>6119</v>
      </c>
      <c r="D484" s="470" t="s">
        <v>8490</v>
      </c>
      <c r="E484" s="470" t="s">
        <v>8936</v>
      </c>
      <c r="F484" s="471" t="s">
        <v>8013</v>
      </c>
      <c r="G484" t="s">
        <v>9520</v>
      </c>
      <c r="H484" s="89" t="s">
        <v>7160</v>
      </c>
      <c r="I484" s="89" t="s">
        <v>6452</v>
      </c>
      <c r="J484" s="89" t="s">
        <v>7490</v>
      </c>
      <c r="K484" s="456" t="s">
        <v>6773</v>
      </c>
    </row>
    <row r="485" spans="1:11" ht="100.8" x14ac:dyDescent="0.3">
      <c r="A485" t="s">
        <v>5677</v>
      </c>
      <c r="B485" t="str">
        <f t="shared" si="11"/>
        <v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v>
      </c>
      <c r="C485" t="s">
        <v>6120</v>
      </c>
      <c r="D485" s="470" t="s">
        <v>8491</v>
      </c>
      <c r="E485" s="470" t="s">
        <v>8937</v>
      </c>
      <c r="F485" s="471" t="s">
        <v>8014</v>
      </c>
      <c r="G485" t="s">
        <v>9521</v>
      </c>
      <c r="H485" s="89" t="s">
        <v>7161</v>
      </c>
      <c r="I485" s="89" t="s">
        <v>6453</v>
      </c>
      <c r="J485" s="89" t="s">
        <v>7491</v>
      </c>
      <c r="K485" s="456" t="s">
        <v>6774</v>
      </c>
    </row>
    <row r="486" spans="1:11" ht="57.6" x14ac:dyDescent="0.3">
      <c r="A486" t="s">
        <v>5678</v>
      </c>
      <c r="B486" t="str">
        <f t="shared" si="11"/>
        <v>ℹ️ Se viene visualizzata una convalida relativa all'incoerenza di valore, selezionare un ID sito diverso da quelli precedentemente selezionati.</v>
      </c>
      <c r="C486" t="s">
        <v>6121</v>
      </c>
      <c r="D486" s="470" t="s">
        <v>8492</v>
      </c>
      <c r="E486" s="470" t="s">
        <v>8938</v>
      </c>
      <c r="F486" s="471" t="s">
        <v>8015</v>
      </c>
      <c r="G486" t="s">
        <v>9522</v>
      </c>
      <c r="H486" s="89" t="s">
        <v>7162</v>
      </c>
      <c r="I486" s="89" t="s">
        <v>6454</v>
      </c>
      <c r="J486" s="89" t="s">
        <v>7492</v>
      </c>
      <c r="K486" s="456" t="s">
        <v>6775</v>
      </c>
    </row>
    <row r="487" spans="1:11" ht="57.6" x14ac:dyDescent="0.3">
      <c r="A487" t="s">
        <v>5679</v>
      </c>
      <c r="B487" t="str">
        <f t="shared" si="11"/>
        <v>ℹ️ Si prega di selezionare un Tipo di rifiuto (Pericoloso o Non Pericoloso) piuttosto che una categoria altrimenti apparirà un messaggio di ERRORE.</v>
      </c>
      <c r="C487" t="s">
        <v>6122</v>
      </c>
      <c r="D487" s="470" t="s">
        <v>8493</v>
      </c>
      <c r="E487" s="470" t="s">
        <v>8939</v>
      </c>
      <c r="F487" s="471" t="s">
        <v>8016</v>
      </c>
      <c r="G487" t="s">
        <v>9523</v>
      </c>
      <c r="H487" s="89" t="s">
        <v>7163</v>
      </c>
      <c r="I487" s="89" t="s">
        <v>6455</v>
      </c>
      <c r="J487" s="89" t="s">
        <v>7493</v>
      </c>
      <c r="K487" s="456" t="s">
        <v>6784</v>
      </c>
    </row>
    <row r="488" spans="1:11" ht="72" x14ac:dyDescent="0.3">
      <c r="A488" t="s">
        <v>5680</v>
      </c>
      <c r="B488" t="str">
        <f t="shared" si="11"/>
        <v>ℹ️ Si prega di assicurarsi che il numero totale di dipendenti sia lo stesso indicato nella cella E55 del foglio "Informazioni Generali"</v>
      </c>
      <c r="C488" t="s">
        <v>6123</v>
      </c>
      <c r="D488" s="470" t="s">
        <v>8494</v>
      </c>
      <c r="E488" s="470" t="s">
        <v>8940</v>
      </c>
      <c r="F488" s="471" t="s">
        <v>8017</v>
      </c>
      <c r="G488" t="s">
        <v>9524</v>
      </c>
      <c r="H488" s="456" t="s">
        <v>7164</v>
      </c>
      <c r="I488" s="456" t="s">
        <v>6456</v>
      </c>
      <c r="J488" s="456" t="s">
        <v>7494</v>
      </c>
      <c r="K488" s="456" t="s">
        <v>6776</v>
      </c>
    </row>
    <row r="489" spans="1:11" ht="100.8" x14ac:dyDescent="0.3">
      <c r="A489" t="s">
        <v>5681</v>
      </c>
      <c r="B489" t="str">
        <f t="shared" si="11"/>
        <v>ℹ️ L'impresa può modificare il valore in questa cella poiché le 2.000 ore si basano sull'assunzione che un lavoratore a tempo pieno lavori 2.000 ore all'anno. Questo valore può variare a seconda del paese o del settore, in base a regole nazionali o accordi collettivi di lavoro.</v>
      </c>
      <c r="C489" t="s">
        <v>6124</v>
      </c>
      <c r="D489" s="470" t="s">
        <v>8495</v>
      </c>
      <c r="E489" s="470" t="s">
        <v>8941</v>
      </c>
      <c r="F489" s="471" t="s">
        <v>8018</v>
      </c>
      <c r="G489" t="s">
        <v>9525</v>
      </c>
      <c r="H489" s="89" t="s">
        <v>7165</v>
      </c>
      <c r="I489" s="89" t="s">
        <v>6457</v>
      </c>
      <c r="J489" s="89" t="s">
        <v>7495</v>
      </c>
      <c r="K489" s="456" t="s">
        <v>6777</v>
      </c>
    </row>
    <row r="490" spans="1:11" ht="28.8" x14ac:dyDescent="0.3">
      <c r="A490" t="s">
        <v>7536</v>
      </c>
      <c r="B490" t="str">
        <f t="shared" si="11"/>
        <v>ℹ️ Controlla il sito EFRAG per un elenco non esaustivo di calcolatori di gas serra.</v>
      </c>
      <c r="C490" t="s">
        <v>7537</v>
      </c>
      <c r="D490" s="470" t="s">
        <v>8497</v>
      </c>
      <c r="E490" s="2" t="s">
        <v>8942</v>
      </c>
      <c r="F490" s="2" t="s">
        <v>8019</v>
      </c>
      <c r="G490" t="s">
        <v>9526</v>
      </c>
      <c r="H490" t="s">
        <v>7538</v>
      </c>
      <c r="I490" t="s">
        <v>7539</v>
      </c>
      <c r="J490" t="s">
        <v>7540</v>
      </c>
      <c r="K490" s="2" t="s">
        <v>7541</v>
      </c>
    </row>
    <row r="491" spans="1:11" x14ac:dyDescent="0.3">
      <c r="D491" s="470"/>
    </row>
    <row r="492" spans="1:11" x14ac:dyDescent="0.3">
      <c r="D492" s="470"/>
    </row>
    <row r="493" spans="1:11" x14ac:dyDescent="0.3">
      <c r="D493" s="470"/>
    </row>
    <row r="494" spans="1:11" x14ac:dyDescent="0.3">
      <c r="D494" s="470"/>
    </row>
    <row r="495" spans="1:11" x14ac:dyDescent="0.3">
      <c r="D495" s="470"/>
    </row>
    <row r="496" spans="1:11" x14ac:dyDescent="0.3">
      <c r="D496" s="470"/>
    </row>
    <row r="497" spans="4:4" x14ac:dyDescent="0.3">
      <c r="D497" s="470"/>
    </row>
    <row r="498" spans="4:4" x14ac:dyDescent="0.3">
      <c r="D498" s="470"/>
    </row>
    <row r="499" spans="4:4" x14ac:dyDescent="0.3">
      <c r="D499" s="470"/>
    </row>
    <row r="500" spans="4:4" x14ac:dyDescent="0.3">
      <c r="D500" s="470"/>
    </row>
    <row r="501" spans="4:4" x14ac:dyDescent="0.3">
      <c r="D501" s="470"/>
    </row>
    <row r="502" spans="4:4" x14ac:dyDescent="0.3">
      <c r="D502" s="470"/>
    </row>
    <row r="503" spans="4:4" x14ac:dyDescent="0.3">
      <c r="D503" s="470"/>
    </row>
    <row r="504" spans="4:4" x14ac:dyDescent="0.3">
      <c r="D504" s="470"/>
    </row>
    <row r="505" spans="4:4" x14ac:dyDescent="0.3">
      <c r="D505" s="470"/>
    </row>
    <row r="506" spans="4:4" x14ac:dyDescent="0.3">
      <c r="D506" s="470"/>
    </row>
    <row r="507" spans="4:4" x14ac:dyDescent="0.3">
      <c r="D507" s="470"/>
    </row>
    <row r="508" spans="4:4" x14ac:dyDescent="0.3">
      <c r="D508" s="470"/>
    </row>
    <row r="509" spans="4:4" x14ac:dyDescent="0.3">
      <c r="D509" s="470"/>
    </row>
    <row r="510" spans="4:4" x14ac:dyDescent="0.3">
      <c r="D510" s="470"/>
    </row>
    <row r="511" spans="4:4" x14ac:dyDescent="0.3">
      <c r="D511" s="470"/>
    </row>
    <row r="512" spans="4:4" x14ac:dyDescent="0.3">
      <c r="D512" s="470"/>
    </row>
    <row r="513" spans="4:4" x14ac:dyDescent="0.3">
      <c r="D513" s="470"/>
    </row>
    <row r="514" spans="4:4" x14ac:dyDescent="0.3">
      <c r="D514" s="470"/>
    </row>
    <row r="515" spans="4:4" x14ac:dyDescent="0.3">
      <c r="D515" s="470"/>
    </row>
    <row r="516" spans="4:4" x14ac:dyDescent="0.3">
      <c r="D516" s="470"/>
    </row>
    <row r="517" spans="4:4" x14ac:dyDescent="0.3">
      <c r="D517" s="470"/>
    </row>
    <row r="518" spans="4:4" x14ac:dyDescent="0.3">
      <c r="D518" s="470"/>
    </row>
    <row r="519" spans="4:4" x14ac:dyDescent="0.3">
      <c r="D519" s="470"/>
    </row>
    <row r="520" spans="4:4" x14ac:dyDescent="0.3">
      <c r="D520" s="470"/>
    </row>
    <row r="521" spans="4:4" x14ac:dyDescent="0.3">
      <c r="D521" s="470"/>
    </row>
    <row r="522" spans="4:4" x14ac:dyDescent="0.3">
      <c r="D522" s="470"/>
    </row>
    <row r="523" spans="4:4" x14ac:dyDescent="0.3">
      <c r="D523" s="470"/>
    </row>
    <row r="524" spans="4:4" x14ac:dyDescent="0.3">
      <c r="D524" s="470"/>
    </row>
    <row r="525" spans="4:4" x14ac:dyDescent="0.3">
      <c r="D525" s="470"/>
    </row>
    <row r="526" spans="4:4" x14ac:dyDescent="0.3">
      <c r="D526" s="470"/>
    </row>
    <row r="527" spans="4:4" x14ac:dyDescent="0.3">
      <c r="D527" s="470"/>
    </row>
    <row r="528" spans="4:4" x14ac:dyDescent="0.3">
      <c r="D528" s="470"/>
    </row>
    <row r="529" spans="4:4" x14ac:dyDescent="0.3">
      <c r="D529" s="470"/>
    </row>
    <row r="530" spans="4:4" x14ac:dyDescent="0.3">
      <c r="D530" s="470"/>
    </row>
    <row r="531" spans="4:4" x14ac:dyDescent="0.3">
      <c r="D531" s="470"/>
    </row>
    <row r="532" spans="4:4" x14ac:dyDescent="0.3">
      <c r="D532" s="470"/>
    </row>
    <row r="533" spans="4:4" x14ac:dyDescent="0.3">
      <c r="D533" s="470"/>
    </row>
    <row r="534" spans="4:4" x14ac:dyDescent="0.3">
      <c r="D534" s="470"/>
    </row>
    <row r="535" spans="4:4" x14ac:dyDescent="0.3">
      <c r="D535" s="470"/>
    </row>
    <row r="536" spans="4:4" x14ac:dyDescent="0.3">
      <c r="D536" s="470"/>
    </row>
    <row r="537" spans="4:4" x14ac:dyDescent="0.3">
      <c r="D537" s="470"/>
    </row>
    <row r="538" spans="4:4" x14ac:dyDescent="0.3">
      <c r="D538" s="470"/>
    </row>
    <row r="539" spans="4:4" x14ac:dyDescent="0.3">
      <c r="D539" s="470"/>
    </row>
    <row r="540" spans="4:4" x14ac:dyDescent="0.3">
      <c r="D540" s="470"/>
    </row>
    <row r="541" spans="4:4" x14ac:dyDescent="0.3">
      <c r="D541" s="470"/>
    </row>
    <row r="542" spans="4:4" x14ac:dyDescent="0.3">
      <c r="D542" s="470"/>
    </row>
    <row r="543" spans="4:4" x14ac:dyDescent="0.3">
      <c r="D543" s="470"/>
    </row>
    <row r="544" spans="4:4" x14ac:dyDescent="0.3">
      <c r="D544" s="470"/>
    </row>
    <row r="545" spans="4:4" x14ac:dyDescent="0.3">
      <c r="D545" s="470"/>
    </row>
    <row r="546" spans="4:4" x14ac:dyDescent="0.3">
      <c r="D546" s="470"/>
    </row>
    <row r="547" spans="4:4" x14ac:dyDescent="0.3">
      <c r="D547" s="470"/>
    </row>
    <row r="548" spans="4:4" x14ac:dyDescent="0.3">
      <c r="D548" s="470"/>
    </row>
    <row r="549" spans="4:4" x14ac:dyDescent="0.3">
      <c r="D549" s="470"/>
    </row>
    <row r="550" spans="4:4" x14ac:dyDescent="0.3">
      <c r="D550" s="470"/>
    </row>
    <row r="551" spans="4:4" x14ac:dyDescent="0.3">
      <c r="D551" s="470"/>
    </row>
    <row r="552" spans="4:4" x14ac:dyDescent="0.3">
      <c r="D552" s="470"/>
    </row>
    <row r="553" spans="4:4" x14ac:dyDescent="0.3">
      <c r="D553" s="470"/>
    </row>
    <row r="554" spans="4:4" x14ac:dyDescent="0.3">
      <c r="D554" s="470"/>
    </row>
    <row r="555" spans="4:4" x14ac:dyDescent="0.3">
      <c r="D555" s="470"/>
    </row>
    <row r="556" spans="4:4" x14ac:dyDescent="0.3">
      <c r="D556" s="470"/>
    </row>
    <row r="557" spans="4:4" x14ac:dyDescent="0.3">
      <c r="D557" s="470"/>
    </row>
    <row r="558" spans="4:4" x14ac:dyDescent="0.3">
      <c r="D558" s="470"/>
    </row>
    <row r="559" spans="4:4" x14ac:dyDescent="0.3">
      <c r="D559" s="470"/>
    </row>
    <row r="560" spans="4:4" x14ac:dyDescent="0.3">
      <c r="D560" s="470"/>
    </row>
    <row r="561" spans="4:4" x14ac:dyDescent="0.3">
      <c r="D561" s="470"/>
    </row>
    <row r="562" spans="4:4" x14ac:dyDescent="0.3">
      <c r="D562" s="470"/>
    </row>
    <row r="563" spans="4:4" x14ac:dyDescent="0.3">
      <c r="D563" s="470"/>
    </row>
    <row r="564" spans="4:4" x14ac:dyDescent="0.3">
      <c r="D564" s="470"/>
    </row>
    <row r="565" spans="4:4" x14ac:dyDescent="0.3">
      <c r="D565" s="470"/>
    </row>
    <row r="566" spans="4:4" x14ac:dyDescent="0.3">
      <c r="D566" s="470"/>
    </row>
    <row r="567" spans="4:4" x14ac:dyDescent="0.3">
      <c r="D567" s="470"/>
    </row>
    <row r="568" spans="4:4" x14ac:dyDescent="0.3">
      <c r="D568" s="470"/>
    </row>
    <row r="569" spans="4:4" x14ac:dyDescent="0.3">
      <c r="D569" s="470"/>
    </row>
    <row r="570" spans="4:4" x14ac:dyDescent="0.3">
      <c r="D570" s="470"/>
    </row>
    <row r="571" spans="4:4" x14ac:dyDescent="0.3">
      <c r="D571" s="470"/>
    </row>
    <row r="572" spans="4:4" x14ac:dyDescent="0.3">
      <c r="D572" s="470"/>
    </row>
    <row r="573" spans="4:4" x14ac:dyDescent="0.3">
      <c r="D573" s="470"/>
    </row>
    <row r="574" spans="4:4" x14ac:dyDescent="0.3">
      <c r="D574" s="470"/>
    </row>
    <row r="575" spans="4:4" x14ac:dyDescent="0.3">
      <c r="D575" s="470"/>
    </row>
    <row r="576" spans="4:4" x14ac:dyDescent="0.3">
      <c r="D576" s="470"/>
    </row>
    <row r="577" spans="4:4" x14ac:dyDescent="0.3">
      <c r="D577" s="470"/>
    </row>
    <row r="578" spans="4:4" x14ac:dyDescent="0.3">
      <c r="D578" s="470"/>
    </row>
    <row r="579" spans="4:4" x14ac:dyDescent="0.3">
      <c r="D579" s="470"/>
    </row>
    <row r="580" spans="4:4" x14ac:dyDescent="0.3">
      <c r="D580" s="470"/>
    </row>
    <row r="581" spans="4:4" x14ac:dyDescent="0.3">
      <c r="D581" s="470"/>
    </row>
    <row r="582" spans="4:4" x14ac:dyDescent="0.3">
      <c r="D582" s="470"/>
    </row>
    <row r="583" spans="4:4" x14ac:dyDescent="0.3">
      <c r="D583" s="470"/>
    </row>
    <row r="584" spans="4:4" x14ac:dyDescent="0.3">
      <c r="D584" s="470"/>
    </row>
    <row r="585" spans="4:4" x14ac:dyDescent="0.3">
      <c r="D585" s="470"/>
    </row>
    <row r="586" spans="4:4" x14ac:dyDescent="0.3">
      <c r="D586" s="470"/>
    </row>
    <row r="587" spans="4:4" x14ac:dyDescent="0.3">
      <c r="D587" s="470"/>
    </row>
    <row r="588" spans="4:4" x14ac:dyDescent="0.3">
      <c r="D588" s="470"/>
    </row>
    <row r="589" spans="4:4" x14ac:dyDescent="0.3">
      <c r="D589" s="470"/>
    </row>
    <row r="590" spans="4:4" x14ac:dyDescent="0.3">
      <c r="D590" s="470"/>
    </row>
    <row r="591" spans="4:4" x14ac:dyDescent="0.3">
      <c r="D591" s="470"/>
    </row>
    <row r="592" spans="4:4" x14ac:dyDescent="0.3">
      <c r="D592" s="470"/>
    </row>
    <row r="593" spans="4:4" x14ac:dyDescent="0.3">
      <c r="D593" s="470"/>
    </row>
    <row r="594" spans="4:4" x14ac:dyDescent="0.3">
      <c r="D594" s="470"/>
    </row>
    <row r="595" spans="4:4" x14ac:dyDescent="0.3">
      <c r="D595" s="470"/>
    </row>
    <row r="596" spans="4:4" x14ac:dyDescent="0.3">
      <c r="D596" s="470"/>
    </row>
    <row r="597" spans="4:4" x14ac:dyDescent="0.3">
      <c r="D597" s="470"/>
    </row>
    <row r="598" spans="4:4" x14ac:dyDescent="0.3">
      <c r="D598" s="470"/>
    </row>
    <row r="599" spans="4:4" x14ac:dyDescent="0.3">
      <c r="D599" s="470"/>
    </row>
    <row r="600" spans="4:4" x14ac:dyDescent="0.3">
      <c r="D600" s="470"/>
    </row>
    <row r="601" spans="4:4" x14ac:dyDescent="0.3">
      <c r="D601" s="470"/>
    </row>
    <row r="602" spans="4:4" x14ac:dyDescent="0.3">
      <c r="D602" s="470"/>
    </row>
    <row r="603" spans="4:4" x14ac:dyDescent="0.3">
      <c r="D603" s="470"/>
    </row>
    <row r="604" spans="4:4" x14ac:dyDescent="0.3">
      <c r="D604" s="470"/>
    </row>
    <row r="605" spans="4:4" x14ac:dyDescent="0.3">
      <c r="D605" s="470"/>
    </row>
    <row r="606" spans="4:4" x14ac:dyDescent="0.3">
      <c r="D606" s="470"/>
    </row>
    <row r="607" spans="4:4" x14ac:dyDescent="0.3">
      <c r="D607" s="470"/>
    </row>
    <row r="608" spans="4:4" x14ac:dyDescent="0.3">
      <c r="D608" s="470"/>
    </row>
    <row r="609" spans="4:4" x14ac:dyDescent="0.3">
      <c r="D609" s="470"/>
    </row>
    <row r="610" spans="4:4" x14ac:dyDescent="0.3">
      <c r="D610" s="470"/>
    </row>
    <row r="611" spans="4:4" x14ac:dyDescent="0.3">
      <c r="D611" s="470"/>
    </row>
    <row r="612" spans="4:4" x14ac:dyDescent="0.3">
      <c r="D612" s="470"/>
    </row>
    <row r="613" spans="4:4" x14ac:dyDescent="0.3">
      <c r="D613" s="470"/>
    </row>
    <row r="614" spans="4:4" x14ac:dyDescent="0.3">
      <c r="D614" s="470"/>
    </row>
    <row r="615" spans="4:4" x14ac:dyDescent="0.3">
      <c r="D615" s="470"/>
    </row>
    <row r="616" spans="4:4" x14ac:dyDescent="0.3">
      <c r="D616" s="470"/>
    </row>
    <row r="617" spans="4:4" x14ac:dyDescent="0.3">
      <c r="D617" s="470"/>
    </row>
    <row r="618" spans="4:4" x14ac:dyDescent="0.3">
      <c r="D618" s="470"/>
    </row>
    <row r="619" spans="4:4" x14ac:dyDescent="0.3">
      <c r="D619" s="470"/>
    </row>
    <row r="620" spans="4:4" x14ac:dyDescent="0.3">
      <c r="D620" s="470"/>
    </row>
    <row r="621" spans="4:4" x14ac:dyDescent="0.3">
      <c r="D621" s="470"/>
    </row>
    <row r="622" spans="4:4" x14ac:dyDescent="0.3">
      <c r="D622" s="470"/>
    </row>
    <row r="623" spans="4:4" x14ac:dyDescent="0.3">
      <c r="D623" s="470"/>
    </row>
    <row r="624" spans="4:4" x14ac:dyDescent="0.3">
      <c r="D624" s="470"/>
    </row>
    <row r="625" spans="4:4" x14ac:dyDescent="0.3">
      <c r="D625" s="470"/>
    </row>
    <row r="626" spans="4:4" x14ac:dyDescent="0.3">
      <c r="D626" s="470"/>
    </row>
    <row r="627" spans="4:4" x14ac:dyDescent="0.3">
      <c r="D627" s="470"/>
    </row>
    <row r="628" spans="4:4" x14ac:dyDescent="0.3">
      <c r="D628" s="470"/>
    </row>
    <row r="629" spans="4:4" x14ac:dyDescent="0.3">
      <c r="D629" s="470"/>
    </row>
    <row r="630" spans="4:4" x14ac:dyDescent="0.3">
      <c r="D630" s="470"/>
    </row>
    <row r="631" spans="4:4" x14ac:dyDescent="0.3">
      <c r="D631" s="470"/>
    </row>
    <row r="632" spans="4:4" x14ac:dyDescent="0.3">
      <c r="D632" s="470"/>
    </row>
    <row r="633" spans="4:4" x14ac:dyDescent="0.3">
      <c r="D633" s="470"/>
    </row>
    <row r="634" spans="4:4" x14ac:dyDescent="0.3">
      <c r="D634" s="470"/>
    </row>
    <row r="635" spans="4:4" x14ac:dyDescent="0.3">
      <c r="D635" s="470"/>
    </row>
    <row r="636" spans="4:4" x14ac:dyDescent="0.3">
      <c r="D636" s="470"/>
    </row>
    <row r="637" spans="4:4" x14ac:dyDescent="0.3">
      <c r="D637" s="470"/>
    </row>
    <row r="638" spans="4:4" x14ac:dyDescent="0.3">
      <c r="D638" s="470"/>
    </row>
    <row r="639" spans="4:4" x14ac:dyDescent="0.3">
      <c r="D639" s="470"/>
    </row>
    <row r="640" spans="4:4" x14ac:dyDescent="0.3">
      <c r="D640" s="470"/>
    </row>
    <row r="641" spans="4:4" x14ac:dyDescent="0.3">
      <c r="D641" s="470"/>
    </row>
    <row r="642" spans="4:4" x14ac:dyDescent="0.3">
      <c r="D642" s="470"/>
    </row>
    <row r="643" spans="4:4" x14ac:dyDescent="0.3">
      <c r="D643" s="470"/>
    </row>
    <row r="644" spans="4:4" x14ac:dyDescent="0.3">
      <c r="D644" s="470"/>
    </row>
    <row r="645" spans="4:4" x14ac:dyDescent="0.3">
      <c r="D645" s="470"/>
    </row>
    <row r="646" spans="4:4" x14ac:dyDescent="0.3">
      <c r="D646" s="470"/>
    </row>
    <row r="647" spans="4:4" x14ac:dyDescent="0.3">
      <c r="D647" s="470"/>
    </row>
    <row r="648" spans="4:4" x14ac:dyDescent="0.3">
      <c r="D648" s="470"/>
    </row>
    <row r="649" spans="4:4" x14ac:dyDescent="0.3">
      <c r="D649" s="470"/>
    </row>
    <row r="650" spans="4:4" x14ac:dyDescent="0.3">
      <c r="D650" s="470"/>
    </row>
    <row r="651" spans="4:4" x14ac:dyDescent="0.3">
      <c r="D651" s="470"/>
    </row>
    <row r="652" spans="4:4" x14ac:dyDescent="0.3">
      <c r="D652" s="470"/>
    </row>
    <row r="653" spans="4:4" x14ac:dyDescent="0.3">
      <c r="D653" s="470"/>
    </row>
    <row r="654" spans="4:4" x14ac:dyDescent="0.3">
      <c r="D654" s="470"/>
    </row>
    <row r="655" spans="4:4" x14ac:dyDescent="0.3">
      <c r="D655" s="470"/>
    </row>
    <row r="656" spans="4:4" x14ac:dyDescent="0.3">
      <c r="D656" s="470"/>
    </row>
    <row r="657" spans="4:4" x14ac:dyDescent="0.3">
      <c r="D657" s="470"/>
    </row>
    <row r="658" spans="4:4" x14ac:dyDescent="0.3">
      <c r="D658" s="470"/>
    </row>
    <row r="659" spans="4:4" x14ac:dyDescent="0.3">
      <c r="D659" s="470"/>
    </row>
    <row r="660" spans="4:4" x14ac:dyDescent="0.3">
      <c r="D660" s="470"/>
    </row>
    <row r="661" spans="4:4" x14ac:dyDescent="0.3">
      <c r="D661" s="470"/>
    </row>
    <row r="662" spans="4:4" x14ac:dyDescent="0.3">
      <c r="D662" s="470"/>
    </row>
    <row r="663" spans="4:4" x14ac:dyDescent="0.3">
      <c r="D663" s="470"/>
    </row>
    <row r="664" spans="4:4" x14ac:dyDescent="0.3">
      <c r="D664" s="470"/>
    </row>
    <row r="665" spans="4:4" x14ac:dyDescent="0.3">
      <c r="D665" s="470"/>
    </row>
    <row r="666" spans="4:4" x14ac:dyDescent="0.3">
      <c r="D666" s="470"/>
    </row>
    <row r="667" spans="4:4" x14ac:dyDescent="0.3">
      <c r="D667" s="470"/>
    </row>
    <row r="668" spans="4:4" x14ac:dyDescent="0.3">
      <c r="D668" s="470"/>
    </row>
    <row r="669" spans="4:4" x14ac:dyDescent="0.3">
      <c r="D669" s="470"/>
    </row>
    <row r="670" spans="4:4" x14ac:dyDescent="0.3">
      <c r="D670" s="470"/>
    </row>
    <row r="671" spans="4:4" x14ac:dyDescent="0.3">
      <c r="D671" s="470"/>
    </row>
    <row r="672" spans="4:4" x14ac:dyDescent="0.3">
      <c r="D672" s="470"/>
    </row>
    <row r="673" spans="4:4" x14ac:dyDescent="0.3">
      <c r="D673" s="470"/>
    </row>
    <row r="674" spans="4:4" x14ac:dyDescent="0.3">
      <c r="D674" s="470"/>
    </row>
    <row r="675" spans="4:4" x14ac:dyDescent="0.3">
      <c r="D675" s="470"/>
    </row>
    <row r="676" spans="4:4" x14ac:dyDescent="0.3">
      <c r="D676" s="470"/>
    </row>
    <row r="677" spans="4:4" x14ac:dyDescent="0.3">
      <c r="D677" s="470"/>
    </row>
    <row r="678" spans="4:4" x14ac:dyDescent="0.3">
      <c r="D678" s="470"/>
    </row>
    <row r="679" spans="4:4" x14ac:dyDescent="0.3">
      <c r="D679" s="470"/>
    </row>
    <row r="680" spans="4:4" x14ac:dyDescent="0.3">
      <c r="D680" s="470"/>
    </row>
    <row r="681" spans="4:4" x14ac:dyDescent="0.3">
      <c r="D681" s="470"/>
    </row>
    <row r="682" spans="4:4" x14ac:dyDescent="0.3">
      <c r="D682" s="470"/>
    </row>
    <row r="683" spans="4:4" x14ac:dyDescent="0.3">
      <c r="D683" s="470"/>
    </row>
    <row r="684" spans="4:4" x14ac:dyDescent="0.3">
      <c r="D684" s="470"/>
    </row>
    <row r="685" spans="4:4" x14ac:dyDescent="0.3">
      <c r="D685" s="470"/>
    </row>
    <row r="686" spans="4:4" x14ac:dyDescent="0.3">
      <c r="D686" s="470"/>
    </row>
    <row r="687" spans="4:4" x14ac:dyDescent="0.3">
      <c r="D687" s="470"/>
    </row>
    <row r="688" spans="4:4" x14ac:dyDescent="0.3">
      <c r="D688" s="470"/>
    </row>
    <row r="689" spans="4:4" x14ac:dyDescent="0.3">
      <c r="D689" s="470"/>
    </row>
    <row r="690" spans="4:4" x14ac:dyDescent="0.3">
      <c r="D690" s="470"/>
    </row>
    <row r="691" spans="4:4" x14ac:dyDescent="0.3">
      <c r="D691" s="470"/>
    </row>
    <row r="692" spans="4:4" x14ac:dyDescent="0.3">
      <c r="D692" s="470"/>
    </row>
    <row r="693" spans="4:4" x14ac:dyDescent="0.3">
      <c r="D693" s="470"/>
    </row>
    <row r="694" spans="4:4" x14ac:dyDescent="0.3">
      <c r="D694" s="470"/>
    </row>
    <row r="695" spans="4:4" x14ac:dyDescent="0.3">
      <c r="D695" s="470"/>
    </row>
    <row r="696" spans="4:4" x14ac:dyDescent="0.3">
      <c r="D696" s="470"/>
    </row>
    <row r="697" spans="4:4" x14ac:dyDescent="0.3">
      <c r="D697" s="470"/>
    </row>
    <row r="698" spans="4:4" x14ac:dyDescent="0.3">
      <c r="D698" s="470"/>
    </row>
    <row r="699" spans="4:4" x14ac:dyDescent="0.3">
      <c r="D699" s="470"/>
    </row>
    <row r="700" spans="4:4" x14ac:dyDescent="0.3">
      <c r="D700" s="470"/>
    </row>
    <row r="701" spans="4:4" x14ac:dyDescent="0.3">
      <c r="D701" s="470"/>
    </row>
    <row r="702" spans="4:4" x14ac:dyDescent="0.3">
      <c r="D702" s="470"/>
    </row>
    <row r="703" spans="4:4" x14ac:dyDescent="0.3">
      <c r="D703" s="470"/>
    </row>
    <row r="704" spans="4:4" x14ac:dyDescent="0.3">
      <c r="D704" s="470"/>
    </row>
    <row r="705" spans="4:4" x14ac:dyDescent="0.3">
      <c r="D705" s="470"/>
    </row>
    <row r="706" spans="4:4" x14ac:dyDescent="0.3">
      <c r="D706" s="470"/>
    </row>
    <row r="707" spans="4:4" x14ac:dyDescent="0.3">
      <c r="D707" s="470"/>
    </row>
    <row r="708" spans="4:4" x14ac:dyDescent="0.3">
      <c r="D708" s="470"/>
    </row>
    <row r="709" spans="4:4" x14ac:dyDescent="0.3">
      <c r="D709" s="470"/>
    </row>
    <row r="710" spans="4:4" x14ac:dyDescent="0.3">
      <c r="D710" s="470"/>
    </row>
    <row r="711" spans="4:4" x14ac:dyDescent="0.3">
      <c r="D711" s="470"/>
    </row>
    <row r="712" spans="4:4" x14ac:dyDescent="0.3">
      <c r="D712" s="470"/>
    </row>
    <row r="713" spans="4:4" x14ac:dyDescent="0.3">
      <c r="D713" s="470"/>
    </row>
    <row r="714" spans="4:4" x14ac:dyDescent="0.3">
      <c r="D714" s="470"/>
    </row>
    <row r="715" spans="4:4" x14ac:dyDescent="0.3">
      <c r="D715" s="470"/>
    </row>
    <row r="716" spans="4:4" x14ac:dyDescent="0.3">
      <c r="D716" s="470"/>
    </row>
    <row r="717" spans="4:4" x14ac:dyDescent="0.3">
      <c r="D717" s="470"/>
    </row>
    <row r="718" spans="4:4" x14ac:dyDescent="0.3">
      <c r="D718" s="470"/>
    </row>
    <row r="719" spans="4:4" x14ac:dyDescent="0.3">
      <c r="D719" s="470"/>
    </row>
    <row r="720" spans="4:4" x14ac:dyDescent="0.3">
      <c r="D720" s="470"/>
    </row>
    <row r="721" spans="4:4" x14ac:dyDescent="0.3">
      <c r="D721" s="470"/>
    </row>
    <row r="722" spans="4:4" x14ac:dyDescent="0.3">
      <c r="D722" s="470"/>
    </row>
    <row r="723" spans="4:4" x14ac:dyDescent="0.3">
      <c r="D723" s="470"/>
    </row>
    <row r="724" spans="4:4" x14ac:dyDescent="0.3">
      <c r="D724" s="470"/>
    </row>
    <row r="725" spans="4:4" x14ac:dyDescent="0.3">
      <c r="D725" s="470"/>
    </row>
    <row r="726" spans="4:4" x14ac:dyDescent="0.3">
      <c r="D726" s="470"/>
    </row>
    <row r="727" spans="4:4" x14ac:dyDescent="0.3">
      <c r="D727" s="470"/>
    </row>
    <row r="728" spans="4:4" x14ac:dyDescent="0.3">
      <c r="D728" s="470"/>
    </row>
    <row r="729" spans="4:4" x14ac:dyDescent="0.3">
      <c r="D729" s="470"/>
    </row>
    <row r="730" spans="4:4" x14ac:dyDescent="0.3">
      <c r="D730" s="470"/>
    </row>
    <row r="731" spans="4:4" x14ac:dyDescent="0.3">
      <c r="D731" s="470"/>
    </row>
    <row r="732" spans="4:4" x14ac:dyDescent="0.3">
      <c r="D732" s="470"/>
    </row>
    <row r="733" spans="4:4" x14ac:dyDescent="0.3">
      <c r="D733" s="470"/>
    </row>
    <row r="734" spans="4:4" x14ac:dyDescent="0.3">
      <c r="D734" s="470"/>
    </row>
    <row r="735" spans="4:4" x14ac:dyDescent="0.3">
      <c r="D735" s="470"/>
    </row>
    <row r="736" spans="4:4" x14ac:dyDescent="0.3">
      <c r="D736" s="470"/>
    </row>
    <row r="737" spans="4:4" x14ac:dyDescent="0.3">
      <c r="D737" s="470"/>
    </row>
    <row r="738" spans="4:4" x14ac:dyDescent="0.3">
      <c r="D738" s="470"/>
    </row>
    <row r="739" spans="4:4" x14ac:dyDescent="0.3">
      <c r="D739" s="470"/>
    </row>
    <row r="740" spans="4:4" x14ac:dyDescent="0.3">
      <c r="D740" s="470"/>
    </row>
    <row r="741" spans="4:4" x14ac:dyDescent="0.3">
      <c r="D741" s="470"/>
    </row>
    <row r="742" spans="4:4" x14ac:dyDescent="0.3">
      <c r="D742" s="470"/>
    </row>
    <row r="743" spans="4:4" x14ac:dyDescent="0.3">
      <c r="D743" s="470"/>
    </row>
    <row r="744" spans="4:4" x14ac:dyDescent="0.3">
      <c r="D744" s="470"/>
    </row>
    <row r="745" spans="4:4" x14ac:dyDescent="0.3">
      <c r="D745" s="470"/>
    </row>
    <row r="746" spans="4:4" x14ac:dyDescent="0.3">
      <c r="D746" s="470"/>
    </row>
    <row r="747" spans="4:4" x14ac:dyDescent="0.3">
      <c r="D747" s="470"/>
    </row>
    <row r="748" spans="4:4" x14ac:dyDescent="0.3">
      <c r="D748" s="470"/>
    </row>
    <row r="749" spans="4:4" x14ac:dyDescent="0.3">
      <c r="D749" s="470"/>
    </row>
    <row r="750" spans="4:4" x14ac:dyDescent="0.3">
      <c r="D750" s="470"/>
    </row>
    <row r="751" spans="4:4" x14ac:dyDescent="0.3">
      <c r="D751" s="470"/>
    </row>
    <row r="752" spans="4:4" x14ac:dyDescent="0.3">
      <c r="D752" s="470"/>
    </row>
    <row r="753" spans="4:4" x14ac:dyDescent="0.3">
      <c r="D753" s="470"/>
    </row>
    <row r="754" spans="4:4" x14ac:dyDescent="0.3">
      <c r="D754" s="470"/>
    </row>
    <row r="755" spans="4:4" x14ac:dyDescent="0.3">
      <c r="D755" s="470"/>
    </row>
    <row r="756" spans="4:4" x14ac:dyDescent="0.3">
      <c r="D756" s="470"/>
    </row>
    <row r="757" spans="4:4" x14ac:dyDescent="0.3">
      <c r="D757" s="470"/>
    </row>
    <row r="758" spans="4:4" x14ac:dyDescent="0.3">
      <c r="D758" s="470"/>
    </row>
    <row r="759" spans="4:4" x14ac:dyDescent="0.3">
      <c r="D759" s="470"/>
    </row>
    <row r="760" spans="4:4" x14ac:dyDescent="0.3">
      <c r="D760" s="470"/>
    </row>
    <row r="761" spans="4:4" x14ac:dyDescent="0.3">
      <c r="D761" s="470"/>
    </row>
    <row r="762" spans="4:4" x14ac:dyDescent="0.3">
      <c r="D762" s="470"/>
    </row>
    <row r="763" spans="4:4" x14ac:dyDescent="0.3">
      <c r="D763" s="470"/>
    </row>
    <row r="764" spans="4:4" x14ac:dyDescent="0.3">
      <c r="D764" s="470"/>
    </row>
    <row r="765" spans="4:4" x14ac:dyDescent="0.3">
      <c r="D765" s="470"/>
    </row>
    <row r="766" spans="4:4" x14ac:dyDescent="0.3">
      <c r="D766" s="470"/>
    </row>
    <row r="767" spans="4:4" x14ac:dyDescent="0.3">
      <c r="D767" s="470"/>
    </row>
    <row r="768" spans="4:4" x14ac:dyDescent="0.3">
      <c r="D768" s="470"/>
    </row>
    <row r="769" spans="4:4" x14ac:dyDescent="0.3">
      <c r="D769" s="470"/>
    </row>
    <row r="770" spans="4:4" x14ac:dyDescent="0.3">
      <c r="D770" s="470"/>
    </row>
    <row r="771" spans="4:4" x14ac:dyDescent="0.3">
      <c r="D771" s="470"/>
    </row>
    <row r="772" spans="4:4" x14ac:dyDescent="0.3">
      <c r="D772" s="470"/>
    </row>
    <row r="773" spans="4:4" x14ac:dyDescent="0.3">
      <c r="D773" s="470"/>
    </row>
    <row r="774" spans="4:4" x14ac:dyDescent="0.3">
      <c r="D774" s="470"/>
    </row>
    <row r="775" spans="4:4" x14ac:dyDescent="0.3">
      <c r="D775" s="470"/>
    </row>
    <row r="776" spans="4:4" x14ac:dyDescent="0.3">
      <c r="D776" s="470"/>
    </row>
    <row r="777" spans="4:4" x14ac:dyDescent="0.3">
      <c r="D777" s="470"/>
    </row>
    <row r="778" spans="4:4" x14ac:dyDescent="0.3">
      <c r="D778" s="470"/>
    </row>
    <row r="779" spans="4:4" x14ac:dyDescent="0.3">
      <c r="D779" s="470"/>
    </row>
    <row r="780" spans="4:4" x14ac:dyDescent="0.3">
      <c r="D780" s="470"/>
    </row>
    <row r="781" spans="4:4" x14ac:dyDescent="0.3">
      <c r="D781" s="470"/>
    </row>
    <row r="782" spans="4:4" x14ac:dyDescent="0.3">
      <c r="D782" s="470"/>
    </row>
    <row r="783" spans="4:4" x14ac:dyDescent="0.3">
      <c r="D783" s="470"/>
    </row>
    <row r="784" spans="4:4" x14ac:dyDescent="0.3">
      <c r="D784" s="470"/>
    </row>
    <row r="785" spans="4:4" x14ac:dyDescent="0.3">
      <c r="D785" s="470"/>
    </row>
    <row r="786" spans="4:4" x14ac:dyDescent="0.3">
      <c r="D786" s="470"/>
    </row>
    <row r="787" spans="4:4" x14ac:dyDescent="0.3">
      <c r="D787" s="470"/>
    </row>
    <row r="788" spans="4:4" x14ac:dyDescent="0.3">
      <c r="D788" s="470"/>
    </row>
    <row r="789" spans="4:4" x14ac:dyDescent="0.3">
      <c r="D789" s="470"/>
    </row>
    <row r="790" spans="4:4" x14ac:dyDescent="0.3">
      <c r="D790" s="470"/>
    </row>
    <row r="791" spans="4:4" x14ac:dyDescent="0.3">
      <c r="D791" s="470"/>
    </row>
    <row r="792" spans="4:4" x14ac:dyDescent="0.3">
      <c r="D792" s="470"/>
    </row>
    <row r="793" spans="4:4" x14ac:dyDescent="0.3">
      <c r="D793" s="470"/>
    </row>
    <row r="794" spans="4:4" x14ac:dyDescent="0.3">
      <c r="D794" s="470"/>
    </row>
    <row r="795" spans="4:4" x14ac:dyDescent="0.3">
      <c r="D795" s="470"/>
    </row>
    <row r="796" spans="4:4" x14ac:dyDescent="0.3">
      <c r="D796" s="470"/>
    </row>
    <row r="797" spans="4:4" x14ac:dyDescent="0.3">
      <c r="D797" s="470"/>
    </row>
    <row r="798" spans="4:4" x14ac:dyDescent="0.3">
      <c r="D798" s="470"/>
    </row>
    <row r="799" spans="4:4" x14ac:dyDescent="0.3">
      <c r="D799" s="470"/>
    </row>
    <row r="800" spans="4:4" x14ac:dyDescent="0.3">
      <c r="D800" s="470"/>
    </row>
    <row r="801" spans="4:4" x14ac:dyDescent="0.3">
      <c r="D801" s="470"/>
    </row>
    <row r="802" spans="4:4" x14ac:dyDescent="0.3">
      <c r="D802" s="470"/>
    </row>
    <row r="803" spans="4:4" x14ac:dyDescent="0.3">
      <c r="D803" s="470"/>
    </row>
    <row r="804" spans="4:4" x14ac:dyDescent="0.3">
      <c r="D804" s="470"/>
    </row>
    <row r="805" spans="4:4" x14ac:dyDescent="0.3">
      <c r="D805" s="470"/>
    </row>
    <row r="806" spans="4:4" x14ac:dyDescent="0.3">
      <c r="D806" s="470"/>
    </row>
    <row r="807" spans="4:4" x14ac:dyDescent="0.3">
      <c r="D807" s="470"/>
    </row>
    <row r="808" spans="4:4" x14ac:dyDescent="0.3">
      <c r="D808" s="470"/>
    </row>
    <row r="809" spans="4:4" x14ac:dyDescent="0.3">
      <c r="D809" s="470"/>
    </row>
    <row r="810" spans="4:4" x14ac:dyDescent="0.3">
      <c r="D810" s="470"/>
    </row>
    <row r="811" spans="4:4" x14ac:dyDescent="0.3">
      <c r="D811" s="470"/>
    </row>
    <row r="812" spans="4:4" x14ac:dyDescent="0.3">
      <c r="D812" s="470"/>
    </row>
    <row r="813" spans="4:4" x14ac:dyDescent="0.3">
      <c r="D813" s="470"/>
    </row>
    <row r="814" spans="4:4" x14ac:dyDescent="0.3">
      <c r="D814" s="470"/>
    </row>
    <row r="815" spans="4:4" x14ac:dyDescent="0.3">
      <c r="D815" s="470"/>
    </row>
    <row r="816" spans="4:4" x14ac:dyDescent="0.3">
      <c r="D816" s="470"/>
    </row>
    <row r="817" spans="4:4" x14ac:dyDescent="0.3">
      <c r="D817" s="470"/>
    </row>
    <row r="818" spans="4:4" x14ac:dyDescent="0.3">
      <c r="D818" s="470"/>
    </row>
    <row r="819" spans="4:4" x14ac:dyDescent="0.3">
      <c r="D819" s="470"/>
    </row>
    <row r="820" spans="4:4" x14ac:dyDescent="0.3">
      <c r="D820" s="470"/>
    </row>
    <row r="821" spans="4:4" x14ac:dyDescent="0.3">
      <c r="D821" s="470"/>
    </row>
    <row r="822" spans="4:4" x14ac:dyDescent="0.3">
      <c r="D822" s="470"/>
    </row>
    <row r="823" spans="4:4" x14ac:dyDescent="0.3">
      <c r="D823" s="470"/>
    </row>
    <row r="824" spans="4:4" x14ac:dyDescent="0.3">
      <c r="D824" s="470"/>
    </row>
  </sheetData>
  <sheetProtection algorithmName="SHA-512" hashValue="LUwkPKvSqEzpvQzNTPZQo1ixKzflKkPwUWkFXLKvrFzS7Aml3vtdb2Aj5C0zJ3ZTxd9cZ5lIE+HDl13RekGJ6g==" saltValue="1VH9U0u5Pgitrd5brBpRRA==" spinCount="100000" sheet="1" objects="1" scenarios="1"/>
  <autoFilter ref="A1:B490"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4358</v>
      </c>
      <c r="D1" t="s">
        <v>3555</v>
      </c>
      <c r="E1" t="s">
        <v>3556</v>
      </c>
      <c r="F1" t="s">
        <v>3557</v>
      </c>
      <c r="G1" t="s">
        <v>3558</v>
      </c>
    </row>
    <row r="2" spans="1:7" ht="13.95" customHeight="1" x14ac:dyDescent="0.3">
      <c r="A2" t="s">
        <v>4372</v>
      </c>
      <c r="B2" t="str">
        <f>template_reporting_period_startdate</f>
        <v>2024-01-01</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[{"place_id":68393187,"licence":"Data © OpenStreetMap contributors, ODbL 1.0. http://osm.org/copyright","osm_type":"way","osm_id":463529462,"lat":"45.4639102","lon":"9.1906398","class":"place","type":"square","place_rank":25,"importance":0.4615664466266592,"addresstype":"square","name":"Piazza del Duomo","display_name":"Piazza del Duomo, Duomo, Municipio 1, Milano, Lombardia, Italia","address":{"square":"Piazza del Duomo","quarter":"Duomo","suburb":"Municipio 1","city":"Milano","county":"Milano","ISO3166-2-lvl6":"IT-MI","state":"Lombardia","ISO3166-2-lvl4":"IT-25","country":"Italia","country_code":"it"},"boundingbox":["45.4629966","45.4647918","9.1883468","9.1929820"]},{"place_id":68429123,"licence":"Data © OpenStreetMap contributors, ODbL 1.0. http://osm.org/copyright","osm_type":"node","osm_id":7235042681,"lat":"45.4607835","lon":"9.1893098","class":"tourism","type":"hotel","place_rank":30,"importance":8.390707255660361e-05,"addresstype":"tourism","name":"Hotel The Square Milano Duomo","display_name":"Hotel The Square Milano Duomo, 4, Via Alberico Albricci, Cerchia dei Navigli, Municipio 1, Milano, Lombardia, 20122, Italia","address":{"tourism":"Hotel The Square Milano Duomo","house_number":"4","road":"Via Alberico Albricci","subdivision":"Cerchia dei Navigli","suburb":"Municipio 1","city":"Milano","county":"Milano","ISO3166-2-lvl6":"IT-MI","state":"Lombardia","ISO3166-2-lvl4":"IT-25","postcode":"20122","country":"Italia","country_code":"it"},"boundingbox":["45.4607335","45.4608335","9.1892598","9.1893598"]}]</v>
      </c>
      <c r="E2" s="315" t="str">
        <f t="shared" ref="E2:E26" si="0">MID(D2,SEARCH("""lat"":""",D2)+7,SEARCH("""lon"":""",D2)-SEARCH("""lat"":""",D2)-9)</f>
        <v>45.4639102</v>
      </c>
      <c r="F2" s="315" t="str">
        <f t="shared" ref="F2:F26" si="1">MID(D2, SEARCH("""lon"":""", D2) + 7, SEARCH("""class""", D2) - SEARCH("""lon"":""", D2) - 9)</f>
        <v>9.1906398</v>
      </c>
      <c r="G2" t="str">
        <f t="shared" ref="G2:G26" si="2">E2 &amp; "," &amp; F2</f>
        <v>45.4639102,9.1906398</v>
      </c>
    </row>
    <row r="3" spans="1:7" ht="15.6" customHeight="1" x14ac:dyDescent="0.3">
      <c r="A3" t="s">
        <v>3062</v>
      </c>
      <c r="B3" t="str">
        <f>template_reporting_period_enddate</f>
        <v>2024-12-31</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Andrea Baschiera</cp:lastModifiedBy>
  <cp:revision/>
  <dcterms:created xsi:type="dcterms:W3CDTF">2025-01-13T10:12:12Z</dcterms:created>
  <dcterms:modified xsi:type="dcterms:W3CDTF">2026-08-31T08:01:02Z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